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G:\jetbrains_projects\pycharmProjects\Tools-For-Fuck-Work\antelope\xlsm\"/>
    </mc:Choice>
  </mc:AlternateContent>
  <bookViews>
    <workbookView windowWidth="27945" windowHeight="12255"/>
  </bookViews>
  <sheets>
    <sheet name="Sheet0" sheetId="1" r:id="rId1"/>
    <sheet name="Sheet1" sheetId="2" r:id="rId2"/>
  </sheets>
  <definedNames>
    <definedName name="_xlnm._FilterDatabase" localSheetId="0" hidden="1">Sheet0!$A$1:$F$55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<sst xmlns="http://schemas.openxmlformats.org/spreadsheetml/2006/main" count="1683" uniqueCount="715">
  <si>
    <t>ASH260706009</t>
  </si>
  <si>
    <t>Es07Qsbfzhad5wJp</t>
  </si>
  <si>
    <t>Jupe Gothique Femme Longueur Cheville Taille Haute Volants</t>
  </si>
  <si>
    <t>Jacquard Texturé Œillets Métalliques Laçage Croisé Taille Haute Longueur Cheville Volants Multicouches Jupe Gothique</t>
  </si>
  <si>
    <t>女士暗黑哥特复古半身裙 重工提花肌理面料 高腰及踝长款鱼尾裙 侧边金属孔眼系带装饰 多层荷叶边不规则拼接下摆</t>
  </si>
  <si>
    <t>Purple,Red,Green,Pink,Light Purple,Black,White</t>
  </si>
  <si>
    <t xml:space="preserve">028 普货 25%CP：32.69 EUR  1026 450克以内 24%CP：39.47 USD  1026 450克以内 30%CP：47.11 USD  1026 450克以内25%CP：40.57 USD  1026_450克以内_20CP：35.62 USD  1026_450克以内_26CP：41.73 USD  969_普货_30CP：43.42 GBP  989  26%CP：60.54 EUR  989 普货 24%CP：46.15 USD  A1-US-048-30%CP：44.71 USD  A1美国280-28%CP：55.34 USD  BALP-德国建议价：74.96 EUR  D-FR-806-30%CP：55.29 EUR  DE-1121-26%CP：44.42 EUR  DE-612A-35%CP：110.96 EUR  E-ES-028-30%CP：69.13 EUR  F-IT-806-30%CP：62.19 EUR  GATLB英国 989 普货  26%CP：40.47 GBP  GATLD意大利-1154-23%CP：49.28 EUR  GATLD意大利-1154CP：49.28 EUR  GATLD法国-1154-15%CP：37.6 EUR  GATLD法国-1154-23%CP：44.98 EUR  GATLD法国-1154CP：44.98 EUR  GATLE西班牙EUB-28%CP：64.56 EUR  GATLH加拿大EUBCP：108.92 CAD  US-415-30%CP：51.12 USD  中东站价格CP：594.87 AED  德国1158-26%CP：48.3 EUR  极兔德国专线1156-23%CP：41.02 EUR  亚马逊：23.92 USD  亚马逊：16.94 GBP  亚马逊：33.83 CAD  亚马逊：29.18 AUD  亚马逊：32.14 EUR  亚马逊：26.66 EUR  亚马逊：2746.01 JPY  亚马逊：28.17 EUR  亚马逊：34.03 EUR  亚马逊：32.77 EUR  亚马逊：370.94 MXN  </t>
  </si>
  <si>
    <t>410</t>
  </si>
  <si>
    <t>https://43fo1qebdwsqifek.imgsapp.com/afsd/8351/3390446152863012779972.jpg</t>
  </si>
  <si>
    <t>https://8u5nk5bm3j16fvun.imgsapp.com/afsd/8351/7800446153433096840634.jpg</t>
  </si>
  <si>
    <t>https://1b16mbpqn8y5i2mk.imgsapp.com/afsd/8351/1880446157123021059810.jpg</t>
  </si>
  <si>
    <t>https://4mlyvebi4i4zte8i.imgsapp.com/afsd/8351/8710446156173043266756.jpg</t>
  </si>
  <si>
    <t>https://zw0l2vynfbxmvxyv.imgsapp.com/afsd/8351/2140446159673011455929.jpg</t>
  </si>
  <si>
    <t>https://nrmmtfac8g5gnbu2.imgsapp.com/afsd/8351/2680446156723053763586.jpg</t>
  </si>
  <si>
    <t>https://25ooatpclgucat1c.imgsapp.com/afsd/8351/5400446160233014699686.jpg</t>
  </si>
  <si>
    <t>https://cix2n9lz0q8xh1wg.imgsapp.com/afsd/8351/7880446158963011038570.jpg</t>
  </si>
  <si>
    <t>https://5v2fouhg3yu19enf.imgsapp.com/afsd/8351/9600446162023017635376.jpg</t>
  </si>
  <si>
    <t>上架</t>
  </si>
  <si>
    <t>1pc半身裙</t>
  </si>
  <si>
    <t>Encolure dégagée</t>
  </si>
  <si>
    <t>Sans col</t>
  </si>
  <si>
    <t>Style et occasions : robe femme polyvalente idéale pour fêtes costumées, soirées à thème, Oktoberfest, Halloween et cosplay, tout en restant élégante pour des sorties décontractées ou des événements festifs variés.</t>
  </si>
  <si>
    <t>Matières et confort : confectionnée dans des matières douces comme le velours, la dentelle ou le satin, offrant un port agréable, un toucher délicat et une grande aisance de mouvement tout au long de la journée.</t>
  </si>
  <si>
    <t>Coupe et silhouette : coupe A évasée et taille haute qui mettent la silhouette en valeur avec élégance, soulignant la taille et apportant une allure gracieuse et féminine en toute circonstance.</t>
  </si>
  <si>
    <t>Finitions et détails : finitions soignées avec volants, laçage croisé, nœud et tablier pour un style raffiné, romantique et festif qui attire les regards et donne du caractère à la tenue.</t>
  </si>
  <si>
    <t>Polyvalence et conseil : s’associe aussi bien aux tenues décontractées qu’aux costumes de scène et de spectacle ; avant l’achat, veuillez consulter le guide des tailles pour un ajustement parfait.</t>
  </si>
  <si>
    <t>Manche épaule dénudée</t>
  </si>
  <si>
    <t>Cordon de serrage</t>
  </si>
  <si>
    <t>ASH260706009BKL</t>
  </si>
  <si>
    <t>fiPgc6bfzhadKX6H</t>
  </si>
  <si>
    <t>暗黑系复古哥特半身裙重工系带肌理感鱼尾裙子女 黑色 L</t>
  </si>
  <si>
    <t>Black</t>
  </si>
  <si>
    <t>Noir</t>
  </si>
  <si>
    <t>Grand (l)</t>
  </si>
  <si>
    <t>https://rxjyetqa3t8p8vo0.imgsapp.com/afsd/8351/3290445558473011969334.jpg</t>
  </si>
  <si>
    <t>https://vwl7tcp9p9anrjnw.imgsapp.com/afsd/8351/3760445559613020717155.jpg</t>
  </si>
  <si>
    <t>https://gl2rs6k8yq4urqgs.imgsapp.com/afsd/8351/6230446327875517475418.jpg</t>
  </si>
  <si>
    <t>https://ec9s9z0qcz320n9h.imgsapp.com/afsd/8351/1140445558983048240297.jpg</t>
  </si>
  <si>
    <t>ASH260706009BKL2</t>
  </si>
  <si>
    <t>4R7fOJbfzhadRfKG</t>
  </si>
  <si>
    <t>暗黑系复古哥特半身裙重工系带肌理感鱼尾裙子女 黑色 XXL</t>
  </si>
  <si>
    <t>TTG (xx_l)</t>
  </si>
  <si>
    <t>https://gx97bahlterwf68y.imgsapp.com/afsd/8351/3290445558473011969334.jpg</t>
  </si>
  <si>
    <t>https://wwchmg8bv4owbag8.imgsapp.com/afsd/8351/3760445559613020717155.jpg</t>
  </si>
  <si>
    <t>https://yzncrqs0hvo6w9qt.imgsapp.com/afsd/8351/6230446327875517475418.jpg</t>
  </si>
  <si>
    <t>https://qltshf1r7xf5vxz1.imgsapp.com/afsd/8351/1140445558983048240297.jpg</t>
  </si>
  <si>
    <t>ASH260706009BKM</t>
  </si>
  <si>
    <t>9LcgAEbfzhadRYY2</t>
  </si>
  <si>
    <t>暗黑系复古哥特半身裙重工系带肌理感鱼尾裙子女 黑色 M</t>
  </si>
  <si>
    <t>M (m)</t>
  </si>
  <si>
    <t>https://959z8s44sgvrl5tt.imgsapp.com/afsd/8351/3290445558473011969334.jpg</t>
  </si>
  <si>
    <t>https://qqntre6tj4zzmdqi.imgsapp.com/afsd/8351/3760445559613020717155.jpg</t>
  </si>
  <si>
    <t>https://o3drhv9udhod2agp.imgsapp.com/afsd/8351/6230446327875517475418.jpg</t>
  </si>
  <si>
    <t>https://rjp4bflu7m3wbuaz.imgsapp.com/afsd/8351/1140445558983048240297.jpg</t>
  </si>
  <si>
    <t>ASH260706009BKS</t>
  </si>
  <si>
    <t>oElTehbfzhadEqeX</t>
  </si>
  <si>
    <t>暗黑系复古哥特半身裙重工系带肌理感鱼尾裙子女 黑色 S</t>
  </si>
  <si>
    <t>S (s)</t>
  </si>
  <si>
    <t>https://0av8vxq6yq7gmiy0.imgsapp.com/afsd/8351/3290445558473011969334.jpg</t>
  </si>
  <si>
    <t>https://1j7xcq8bvs3xigpd.imgsapp.com/afsd/8351/3760445559613020717155.jpg</t>
  </si>
  <si>
    <t>https://xvbpiigmlqfzsz03.imgsapp.com/afsd/8351/6230446327875517475418.jpg</t>
  </si>
  <si>
    <t>https://q8jaq3pwu8gu57vj.imgsapp.com/afsd/8351/1140445558983048240297.jpg</t>
  </si>
  <si>
    <t>ASH260706009BKXL</t>
  </si>
  <si>
    <t>DJHcP3bfzhadECii</t>
  </si>
  <si>
    <t>暗黑系复古哥特半身裙重工系带肌理感鱼尾裙子女 黑色 XL</t>
  </si>
  <si>
    <t>TG</t>
  </si>
  <si>
    <t>https://1yephn3mp7py21pw.imgsapp.com/afsd/8351/3290445558473011969334.jpg</t>
  </si>
  <si>
    <t>https://m1wjkfstgkjmoivf.imgsapp.com/afsd/8351/3760445559613020717155.jpg</t>
  </si>
  <si>
    <t>https://s6h9v8l2kkxcwkul.imgsapp.com/afsd/8351/6230446327875517475418.jpg</t>
  </si>
  <si>
    <t>https://e0kieb8pidwe3pos.imgsapp.com/afsd/8351/1140445558983048240297.jpg</t>
  </si>
  <si>
    <t>ASH260706009GNL</t>
  </si>
  <si>
    <t>eZjPYBbfzhadNEUi</t>
  </si>
  <si>
    <t>暗黑系复古哥特半身裙重工系带肌理感鱼尾裙子女 绿色 L</t>
  </si>
  <si>
    <t>Green</t>
  </si>
  <si>
    <t>Vert</t>
  </si>
  <si>
    <t>https://yso4boz1ff6e2xgb.imgsapp.com/afsd/8351/4950445334562916476040.jpg</t>
  </si>
  <si>
    <t>https://czhudjxoog1t9yav.imgsapp.com/afsd/8351/7190445335742915963358.jpg</t>
  </si>
  <si>
    <t>https://q6v34bome2ldlpne.imgsapp.com/afsd/8351/9230446327875517475418.jpg</t>
  </si>
  <si>
    <t>https://7o6u7c7og3a2y2ex.imgsapp.com/afsd/8351/6180445334942910903959.jpg</t>
  </si>
  <si>
    <t>ASH260706009GNL2</t>
  </si>
  <si>
    <t>GP37pxbfzhadFY6S</t>
  </si>
  <si>
    <t>暗黑系复古哥特半身裙重工系带肌理感鱼尾裙子女 绿色 XXL</t>
  </si>
  <si>
    <t>https://257i3il2twikajba.imgsapp.com/afsd/8351/4950445334562916476040.jpg</t>
  </si>
  <si>
    <t>https://i8819hru1ybyqqas.imgsapp.com/afsd/8351/7190445335742915963358.jpg</t>
  </si>
  <si>
    <t>https://afm1elo525f6108t.imgsapp.com/afsd/8351/9230446327875517475418.jpg</t>
  </si>
  <si>
    <t>https://rkwtlriliccjto7r.imgsapp.com/afsd/8351/6180445334942910903959.jpg</t>
  </si>
  <si>
    <t>ASH260706009GNM</t>
  </si>
  <si>
    <t>dBEIUpbfzhadqR8J</t>
  </si>
  <si>
    <t>暗黑系复古哥特半身裙重工系带肌理感鱼尾裙子女 绿色 M</t>
  </si>
  <si>
    <t>https://pj1hfr8um10hz8ir.imgsapp.com/afsd/8351/4950445334562916476040.jpg</t>
  </si>
  <si>
    <t>https://ny9kpna9ku5o3q79.imgsapp.com/afsd/8351/7190445335742915963358.jpg</t>
  </si>
  <si>
    <t>https://g51uulyjdodkpb3q.imgsapp.com/afsd/8351/9230446327875517475418.jpg</t>
  </si>
  <si>
    <t>https://bbti0ecea08piz76.imgsapp.com/afsd/8351/6180445334942910903959.jpg</t>
  </si>
  <si>
    <t>ASH260706009GNS</t>
  </si>
  <si>
    <t>OGSrVobfzhadD1qV</t>
  </si>
  <si>
    <t>暗黑系复古哥特半身裙重工系带肌理感鱼尾裙子女 绿色 S</t>
  </si>
  <si>
    <t>https://9pm6tu6k46jmiiyi.imgsapp.com/afsd/8351/4950445334562916476040.jpg</t>
  </si>
  <si>
    <t>https://lmko5uwlevqab75n.imgsapp.com/afsd/8351/7190445335742915963358.jpg</t>
  </si>
  <si>
    <t>https://sc8onwhtkvvlo919.imgsapp.com/afsd/8351/9230446327875517475418.jpg</t>
  </si>
  <si>
    <t>https://raehep5mebrpiutl.imgsapp.com/afsd/8351/6180445334942910903959.jpg</t>
  </si>
  <si>
    <t>ASH260706009GNXL</t>
  </si>
  <si>
    <t>LE8vgJbfzhadECYS</t>
  </si>
  <si>
    <t>暗黑系复古哥特半身裙重工系带肌理感鱼尾裙子女 绿色 XL</t>
  </si>
  <si>
    <t>https://9gmvivnpzxhcmkpu.imgsapp.com/afsd/8351/4950445334562916476040.jpg</t>
  </si>
  <si>
    <t>https://cvb2b9brc43sntn4.imgsapp.com/afsd/8351/7190445335742915963358.jpg</t>
  </si>
  <si>
    <t>https://i924i0epm6wrxxhp.imgsapp.com/afsd/8351/9230446327875517475418.jpg</t>
  </si>
  <si>
    <t>https://ndhsmzu1onw2g1fp.imgsapp.com/afsd/8351/6180445334942910903959.jpg</t>
  </si>
  <si>
    <t>ASH260706009LEL</t>
  </si>
  <si>
    <t>8hK8vtbfzhadY4Bi</t>
  </si>
  <si>
    <t>暗黑系复古哥特半身裙重工系带肌理感鱼尾裙子女 浅紫色 L</t>
  </si>
  <si>
    <t>Light Purple</t>
  </si>
  <si>
    <t>Violet clair</t>
  </si>
  <si>
    <t>https://773rbi4vk15xyf25.imgsapp.com/afsd/8351/1050445487513019129757.jpg</t>
  </si>
  <si>
    <t>https://ay543qyaoerg4m07.imgsapp.com/afsd/8351/7000445488683014381286.jpg</t>
  </si>
  <si>
    <t>https://b60ijmpvw21zm4x8.imgsapp.com/afsd/8351/6990446327875517475418.jpg</t>
  </si>
  <si>
    <t>https://kot48tapg8x2rrjn.imgsapp.com/afsd/8351/7440445487953020809564.jpg</t>
  </si>
  <si>
    <t>ASH260706009LEL2</t>
  </si>
  <si>
    <t>VKmraObfzhadLDSm</t>
  </si>
  <si>
    <t>暗黑系复古哥特半身裙重工系带肌理感鱼尾裙子女 浅紫色 XXL</t>
  </si>
  <si>
    <t>https://5wjnqri0sjneyg3v.imgsapp.com/afsd/8351/1050445487513019129757.jpg</t>
  </si>
  <si>
    <t>https://z7zef3dy0mctoycp.imgsapp.com/afsd/8351/7000445488683014381286.jpg</t>
  </si>
  <si>
    <t>https://f3qb48ogz6ualz8r.imgsapp.com/afsd/8351/6990446327875517475418.jpg</t>
  </si>
  <si>
    <t>https://v9spxp3jr2drbqqy.imgsapp.com/afsd/8351/7440445487953020809564.jpg</t>
  </si>
  <si>
    <t>ASH260706009LEM</t>
  </si>
  <si>
    <t>39AyzvbfzhadnN55</t>
  </si>
  <si>
    <t>暗黑系复古哥特半身裙重工系带肌理感鱼尾裙子女 浅紫色 M</t>
  </si>
  <si>
    <t>https://qgd3dzhgif757z3a.imgsapp.com/afsd/8351/1050445487513019129757.jpg</t>
  </si>
  <si>
    <t>https://cq3471fhuw8jqj3m.imgsapp.com/afsd/8351/7000445488683014381286.jpg</t>
  </si>
  <si>
    <t>https://saye55napy82swtc.imgsapp.com/afsd/8351/6990446327875517475418.jpg</t>
  </si>
  <si>
    <t>https://h4s2x8zawsv9w61k.imgsapp.com/afsd/8351/7440445487953020809564.jpg</t>
  </si>
  <si>
    <t>ASH260706009LES</t>
  </si>
  <si>
    <t>04zfjKbfzhadCDjl</t>
  </si>
  <si>
    <t>暗黑系复古哥特半身裙重工系带肌理感鱼尾裙子女 浅紫色 S</t>
  </si>
  <si>
    <t>https://jhvp26isbf8rr35n.imgsapp.com/afsd/8351/1050445487513019129757.jpg</t>
  </si>
  <si>
    <t>https://pfmd45e6dhytw3m2.imgsapp.com/afsd/8351/7000445488683014381286.jpg</t>
  </si>
  <si>
    <t>https://9aw28ndus44fkd4l.imgsapp.com/afsd/8351/6990446327875517475418.jpg</t>
  </si>
  <si>
    <t>https://vowqdjb90qgz1g3w.imgsapp.com/afsd/8351/7440445487953020809564.jpg</t>
  </si>
  <si>
    <t>ASH260706009LEXL</t>
  </si>
  <si>
    <t>BAge7mbfzhadU5kK</t>
  </si>
  <si>
    <t>暗黑系复古哥特半身裙重工系带肌理感鱼尾裙子女 浅紫色 XL</t>
  </si>
  <si>
    <t>https://6nyqsto7vcy14mo9.imgsapp.com/afsd/8351/1050445487513019129757.jpg</t>
  </si>
  <si>
    <t>https://pdgrll2mdmssohjn.imgsapp.com/afsd/8351/7000445488683014381286.jpg</t>
  </si>
  <si>
    <t>https://4eanw7qi80xtb80e.imgsapp.com/afsd/8351/6990446327875517475418.jpg</t>
  </si>
  <si>
    <t>https://7c6p3d829ps6xtxu.imgsapp.com/afsd/8351/7440445487953020809564.jpg</t>
  </si>
  <si>
    <t>ASH260706009PKL</t>
  </si>
  <si>
    <t>92qX3Qbfzhad7Ube</t>
  </si>
  <si>
    <t>暗黑系复古哥特半身裙重工系带肌理感鱼尾裙子女 粉色 L</t>
  </si>
  <si>
    <t>Pink</t>
  </si>
  <si>
    <t>Rose</t>
  </si>
  <si>
    <t>https://m0dqqb1of81hi9da.imgsapp.com/afsd/8351/9850445398542918063684.jpg</t>
  </si>
  <si>
    <t>https://oc0mtbvogq16bpez.imgsapp.com/afsd/8351/1880445399772948454339.jpg</t>
  </si>
  <si>
    <t>https://xdsoduzfllt21oym.imgsapp.com/afsd/8351/4650446327875517475418.jpg</t>
  </si>
  <si>
    <t>https://2qsccmwqyz3urrl2.imgsapp.com/afsd/8351/1750445399062917797329.jpg</t>
  </si>
  <si>
    <t>ASH260706009PKL2</t>
  </si>
  <si>
    <t>LacYIjbfzhadN9lo</t>
  </si>
  <si>
    <t>暗黑系复古哥特半身裙重工系带肌理感鱼尾裙子女 粉色 XXL</t>
  </si>
  <si>
    <t>https://3z8y2zlw3ic5n246.imgsapp.com/afsd/8351/9850445398542918063684.jpg</t>
  </si>
  <si>
    <t>https://4l16hd090gqhj4m6.imgsapp.com/afsd/8351/1880445399772948454339.jpg</t>
  </si>
  <si>
    <t>https://xm6vy95q6llu528n.imgsapp.com/afsd/8351/4650446327875517475418.jpg</t>
  </si>
  <si>
    <t>https://7ohftq5poist5t8p.imgsapp.com/afsd/8351/1750445399062917797329.jpg</t>
  </si>
  <si>
    <t>ASH260706009PKM</t>
  </si>
  <si>
    <t>rYwMpLbfzhad9M5P</t>
  </si>
  <si>
    <t>暗黑系复古哥特半身裙重工系带肌理感鱼尾裙子女 粉色 M</t>
  </si>
  <si>
    <t>https://pheok4m4pwjuh33j.imgsapp.com/afsd/8351/9850445398542918063684.jpg</t>
  </si>
  <si>
    <t>https://f0f2xyq1yavn2ihm.imgsapp.com/afsd/8351/1880445399772948454339.jpg</t>
  </si>
  <si>
    <t>https://qmwuto34lvh0dfvq.imgsapp.com/afsd/8351/4650446327875517475418.jpg</t>
  </si>
  <si>
    <t>https://f0u2xpk5d8edtvkb.imgsapp.com/afsd/8351/1750445399062917797329.jpg</t>
  </si>
  <si>
    <t>ASH260706009PKS</t>
  </si>
  <si>
    <t>i8qrNfbfzhadhOan</t>
  </si>
  <si>
    <t>暗黑系复古哥特半身裙重工系带肌理感鱼尾裙子女 粉色 S</t>
  </si>
  <si>
    <t>https://8nhn06xl6kb2u74a.imgsapp.com/afsd/8351/9850445398542918063684.jpg</t>
  </si>
  <si>
    <t>https://reni4or6bgh7z027.imgsapp.com/afsd/8351/1880445399772948454339.jpg</t>
  </si>
  <si>
    <t>https://ydpkdfhpsj6km9tm.imgsapp.com/afsd/8351/4650446327875517475418.jpg</t>
  </si>
  <si>
    <t>https://gka4irns0cwlx5b6.imgsapp.com/afsd/8351/1750445399062917797329.jpg</t>
  </si>
  <si>
    <t>ASH260706009PKXL</t>
  </si>
  <si>
    <t>c58CJobfzhaddxIW</t>
  </si>
  <si>
    <t>暗黑系复古哥特半身裙重工系带肌理感鱼尾裙子女 粉色 XL</t>
  </si>
  <si>
    <t>https://gsx6mqnarxwvn1ki.imgsapp.com/afsd/8351/9850445398542918063684.jpg</t>
  </si>
  <si>
    <t>https://kwxt3s1hvkndr94i.imgsapp.com/afsd/8351/1880445399772948454339.jpg</t>
  </si>
  <si>
    <t>https://85tg645ykzcpcimg.imgsapp.com/afsd/8351/4650446327875517475418.jpg</t>
  </si>
  <si>
    <t>https://leqmxn6vy71pypym.imgsapp.com/afsd/8351/1750445399062917797329.jpg</t>
  </si>
  <si>
    <t>ASH260706009PPL</t>
  </si>
  <si>
    <t>dSoD8rbfzhadlTEX</t>
  </si>
  <si>
    <t>暗黑系复古哥特半身裙重工系带肌理感鱼尾裙子女 紫色 L</t>
  </si>
  <si>
    <t>Purple</t>
  </si>
  <si>
    <t>Violet</t>
  </si>
  <si>
    <t>https://ztrp4eqc55ti4yst.imgsapp.com/afsd/8351/3200445195672910441649.jpg</t>
  </si>
  <si>
    <t>https://kv7wjr3bl8xawbqa.imgsapp.com/afsd/8351/6500445197092919378843.jpg</t>
  </si>
  <si>
    <t>https://66fy2jnef7mfm1c1.imgsapp.com/afsd/8351/1770446327875517475418.jpg</t>
  </si>
  <si>
    <t>https://mzn2cd806gpnqfrr.imgsapp.com/afsd/8351/5410445196082915087588.jpg</t>
  </si>
  <si>
    <t>ASH260706009PPL2</t>
  </si>
  <si>
    <t>ucC5rGbfzhad9OLs</t>
  </si>
  <si>
    <t>暗黑系复古哥特半身裙重工系带肌理感鱼尾裙子女 紫色 XXL</t>
  </si>
  <si>
    <t>https://nkacqq2r90x2skty.imgsapp.com/afsd/8351/3200445195672910441649.jpg</t>
  </si>
  <si>
    <t>https://63u0zo0kdqw65vgz.imgsapp.com/afsd/8351/6500445197092919378843.jpg</t>
  </si>
  <si>
    <t>https://g79kpzrsft3oqwlj.imgsapp.com/afsd/8351/1770446327875517475418.jpg</t>
  </si>
  <si>
    <t>https://6eur7qu9chzu9d7e.imgsapp.com/afsd/8351/5410445196082915087588.jpg</t>
  </si>
  <si>
    <t>ASH260706009PPM</t>
  </si>
  <si>
    <t>qORuL2bfzhad9BD3</t>
  </si>
  <si>
    <t>暗黑系复古哥特半身裙重工系带肌理感鱼尾裙子女 紫色 M</t>
  </si>
  <si>
    <t>https://3xtklo1pls9abgf5.imgsapp.com/afsd/8351/3200445195672910441649.jpg</t>
  </si>
  <si>
    <t>https://ukuzwp2yy83mnoxt.imgsapp.com/afsd/8351/6500445197092919378843.jpg</t>
  </si>
  <si>
    <t>https://h1du85bzeotvnrtj.imgsapp.com/afsd/8351/1770446327875517475418.jpg</t>
  </si>
  <si>
    <t>https://an9du6tzyvcy2ynb.imgsapp.com/afsd/8351/5410445196082915087588.jpg</t>
  </si>
  <si>
    <t>ASH260706009PPS</t>
  </si>
  <si>
    <t>c5npO0bfzhadNEWx</t>
  </si>
  <si>
    <t>暗黑系复古哥特半身裙重工系带肌理感鱼尾裙子女 紫色 S</t>
  </si>
  <si>
    <t>https://zdaq6g8k5713umrv.imgsapp.com/afsd/8351/3200445195672910441649.jpg</t>
  </si>
  <si>
    <t>https://twftr5iltl5dl5nr.imgsapp.com/afsd/8351/6500445197092919378843.jpg</t>
  </si>
  <si>
    <t>https://2c6p86yfv4q0az7j.imgsapp.com/afsd/8351/1770446327875517475418.jpg</t>
  </si>
  <si>
    <t>https://qzsarrykjzfgtxdf.imgsapp.com/afsd/8351/5410445196082915087588.jpg</t>
  </si>
  <si>
    <t>ASH260706009PPXL</t>
  </si>
  <si>
    <t>SGAOdcbfzhadWwuZ</t>
  </si>
  <si>
    <t>暗黑系复古哥特半身裙重工系带肌理感鱼尾裙子女 紫色 XL</t>
  </si>
  <si>
    <t>https://wpgw51vuuenmmwz8.imgsapp.com/afsd/8351/3200445195672910441649.jpg</t>
  </si>
  <si>
    <t>https://jtytn8iyvx9iud0t.imgsapp.com/afsd/8351/6500445197092919378843.jpg</t>
  </si>
  <si>
    <t>https://e3ecctql77yq9a0e.imgsapp.com/afsd/8351/1770446327875517475418.jpg</t>
  </si>
  <si>
    <t>https://7wof88pl7yrlc5mz.imgsapp.com/afsd/8351/5410445196082915087588.jpg</t>
  </si>
  <si>
    <t>ASH260706009RDL</t>
  </si>
  <si>
    <t>s7ImeqbfzhadWG6J</t>
  </si>
  <si>
    <t>暗黑系复古哥特半身裙重工系带肌理感鱼尾裙子女 红色 L</t>
  </si>
  <si>
    <t>Red</t>
  </si>
  <si>
    <t>Rouge</t>
  </si>
  <si>
    <t>https://zjal0m46k2lx6l9y.imgsapp.com/afsd/8351/0470445264472912323498.jpg</t>
  </si>
  <si>
    <t>https://xas27pd5ypm4yeux.imgsapp.com/afsd/8351/9730445265522912072770.jpg</t>
  </si>
  <si>
    <t>https://vz7s5odxdn12kit2.imgsapp.com/afsd/8351/9230446327875517475418.jpg</t>
  </si>
  <si>
    <t>https://1t78lfe8dypeh01w.imgsapp.com/afsd/8351/6180445264972933023387.jpg</t>
  </si>
  <si>
    <t>ASH260706009RDL2</t>
  </si>
  <si>
    <t>alKfOqbfzhadrL2W</t>
  </si>
  <si>
    <t>暗黑系复古哥特半身裙重工系带肌理感鱼尾裙子女 红色 XXL</t>
  </si>
  <si>
    <t>https://c3e63b6gmoofrfj5.imgsapp.com/afsd/8351/0470445264472912323498.jpg</t>
  </si>
  <si>
    <t>https://xtpf6fn23y0m723w.imgsapp.com/afsd/8351/9730445265522912072770.jpg</t>
  </si>
  <si>
    <t>https://g3crhzpld5qp8vg0.imgsapp.com/afsd/8351/9230446327875517475418.jpg</t>
  </si>
  <si>
    <t>https://y4s9cs2ic6307kzy.imgsapp.com/afsd/8351/6180445264972933023387.jpg</t>
  </si>
  <si>
    <t>ASH260706009RDM</t>
  </si>
  <si>
    <t>Ix9C6LbfzhadcDpt</t>
  </si>
  <si>
    <t>暗黑系复古哥特半身裙重工系带肌理感鱼尾裙子女 红色 M</t>
  </si>
  <si>
    <t>https://igcfp5ki10ron1zv.imgsapp.com/afsd/8351/0470445264472912323498.jpg</t>
  </si>
  <si>
    <t>https://asropboue5od1kcv.imgsapp.com/afsd/8351/9730445265522912072770.jpg</t>
  </si>
  <si>
    <t>https://q5u3oqe38u8ajvbb.imgsapp.com/afsd/8351/9230446327875517475418.jpg</t>
  </si>
  <si>
    <t>https://r4q5e3k9is3c8sda.imgsapp.com/afsd/8351/6180445264972933023387.jpg</t>
  </si>
  <si>
    <t>ASH260706009RDS</t>
  </si>
  <si>
    <t>uJU3DYbfzhadOSzq</t>
  </si>
  <si>
    <t>暗黑系复古哥特半身裙重工系带肌理感鱼尾裙子女 红色 S</t>
  </si>
  <si>
    <t>https://54rtv61j7i0ue8e2.imgsapp.com/afsd/8351/0470445264472912323498.jpg</t>
  </si>
  <si>
    <t>https://p92waqcs7049z5fj.imgsapp.com/afsd/8351/9730445265522912072770.jpg</t>
  </si>
  <si>
    <t>https://kxvjlltxbqwemeoz.imgsapp.com/afsd/8351/9230446327875517475418.jpg</t>
  </si>
  <si>
    <t>https://80gpzod930y2fwen.imgsapp.com/afsd/8351/6180445264972933023387.jpg</t>
  </si>
  <si>
    <t>ASH260706009RDXL</t>
  </si>
  <si>
    <t>AosSRFbfzhadxIar</t>
  </si>
  <si>
    <t>暗黑系复古哥特半身裙重工系带肌理感鱼尾裙子女 红色 XL</t>
  </si>
  <si>
    <t>https://3y88x8ynn7zeot82.imgsapp.com/afsd/8351/0470445264472912323498.jpg</t>
  </si>
  <si>
    <t>https://ty7w5w5fmqs7qvrx.imgsapp.com/afsd/8351/9730445265522912072770.jpg</t>
  </si>
  <si>
    <t>https://sq0mlalj97i6zl00.imgsapp.com/afsd/8351/9230446327875517475418.jpg</t>
  </si>
  <si>
    <t>https://0e3gsvivr05y1kpo.imgsapp.com/afsd/8351/6180445264972933023387.jpg</t>
  </si>
  <si>
    <t>ASH260706009WHL</t>
  </si>
  <si>
    <t>9jA9DdbfzhadGXaY</t>
  </si>
  <si>
    <t>暗黑系复古哥特半身裙重工系带肌理感鱼尾裙子女 白色 L</t>
  </si>
  <si>
    <t>White</t>
  </si>
  <si>
    <t>Blanc</t>
  </si>
  <si>
    <t>https://t438s8e7jiq0zkjx.imgsapp.com/afsd/8351/6740446029203044004866.jpg</t>
  </si>
  <si>
    <t>https://5kqpukfgtju91a24.imgsapp.com/afsd/8351/5530446030423015316688.jpg</t>
  </si>
  <si>
    <t>https://x0mqc9anggd7y3z3.imgsapp.com/afsd/8351/1140446327875517475418.jpg</t>
  </si>
  <si>
    <t>https://c3c4z7tjr4olfg9o.imgsapp.com/afsd/8351/1390446029703016530483.jpg</t>
  </si>
  <si>
    <t>ASH260706009WHL2</t>
  </si>
  <si>
    <t>zXleEtbfzhadS9eX</t>
  </si>
  <si>
    <t>暗黑系复古哥特半身裙重工系带肌理感鱼尾裙子女 白色 XXL</t>
  </si>
  <si>
    <t>https://peaxb4a5hc8q6bdw.imgsapp.com/afsd/8351/6740446029203044004866.jpg</t>
  </si>
  <si>
    <t>https://5sefntdrcrb4z9g1.imgsapp.com/afsd/8351/5530446030423015316688.jpg</t>
  </si>
  <si>
    <t>https://hsqpcsko6rp9wh0b.imgsapp.com/afsd/8351/1140446327875517475418.jpg</t>
  </si>
  <si>
    <t>https://nbfnltzi3f8gtmlj.imgsapp.com/afsd/8351/1390446029703016530483.jpg</t>
  </si>
  <si>
    <t>ASH260706009WHM</t>
  </si>
  <si>
    <t>P7XTxMbfzhad9VZl</t>
  </si>
  <si>
    <t>暗黑系复古哥特半身裙重工系带肌理感鱼尾裙子女 白色 M</t>
  </si>
  <si>
    <t>https://zb5r9jiquaqqbddb.imgsapp.com/afsd/8351/6740446029203044004866.jpg</t>
  </si>
  <si>
    <t>https://cecdbpohy2bhswln.imgsapp.com/afsd/8351/5530446030423015316688.jpg</t>
  </si>
  <si>
    <t>https://g21biov4vqhddq44.imgsapp.com/afsd/8351/1140446327875517475418.jpg</t>
  </si>
  <si>
    <t>https://ylwokij6u0hcl5ac.imgsapp.com/afsd/8351/1390446029703016530483.jpg</t>
  </si>
  <si>
    <t>ASH260706009WHS</t>
  </si>
  <si>
    <t>daETfDbfzhadBIUL</t>
  </si>
  <si>
    <t>暗黑系复古哥特半身裙重工系带肌理感鱼尾裙子女 白色 S</t>
  </si>
  <si>
    <t>https://5qbcgmxlj370astb.imgsapp.com/afsd/8351/6740446029203044004866.jpg</t>
  </si>
  <si>
    <t>https://30trvmkd7duciz1z.imgsapp.com/afsd/8351/5530446030423015316688.jpg</t>
  </si>
  <si>
    <t>https://zk9jhkfbgwdst87q.imgsapp.com/afsd/8351/1140446327875517475418.jpg</t>
  </si>
  <si>
    <t>https://3wekezr27rifiq7d.imgsapp.com/afsd/8351/1390446029703016530483.jpg</t>
  </si>
  <si>
    <t>ASH260706009WHXL</t>
  </si>
  <si>
    <t>a9ciJEbfzhad27ZU</t>
  </si>
  <si>
    <t>暗黑系复古哥特半身裙重工系带肌理感鱼尾裙子女 白色 XL</t>
  </si>
  <si>
    <t>https://ag9vkou6ojrdtfvu.imgsapp.com/afsd/8351/6740446029203044004866.jpg</t>
  </si>
  <si>
    <t>https://1aas65bgwv5baf4j.imgsapp.com/afsd/8351/5530446030423015316688.jpg</t>
  </si>
  <si>
    <t>https://0pg0sbl4gpt2cyva.imgsapp.com/afsd/8351/1140446327875517475418.jpg</t>
  </si>
  <si>
    <t>https://ck0xjbx5m9cehyi8.imgsapp.com/afsd/8351/1390446029703016530483.jpg</t>
  </si>
  <si>
    <t>ASH260708004</t>
  </si>
  <si>
    <t>0InxQlbfzhadxA2j</t>
  </si>
  <si>
    <t>Jupe Plissée Femme Noire Taille Haute Volant Festonné</t>
  </si>
  <si>
    <t>Noire Unie Taille Haute Cœur Boutons Métalliques Volant Festonné Ourlet, Évasé Plissé Décontracté Doux Jupe Plissée</t>
  </si>
  <si>
    <t>女士休闲高腰半身裙 纯黑面料 双心形金属搭扣装饰 腰头木耳边边 百褶宽松裙摆 荷叶边下摆 甜美日常风</t>
  </si>
  <si>
    <t xml:space="preserve">028 普货 25%CP：22.61 EUR  1026 450克以内 24%CP：26.49 USD  1026 450克以内 30%CP：31.62 USD  1026 450克以内25%CP：27.23 USD  1026_450克以内_20CP：23.91 USD  1026_450克以内_26CP：28.01 USD  969_普货_30CP：28.01 GBP  989  26%CP：45.02 EUR  989 普货 24%CP：31.5 USD  A1-US-048-30%CP：29.86 USD  A1美国280-28%CP：38.06 USD  BALP-德国建议价：60.51 EUR  D-FR-806-30%CP：40.35 EUR  DE-1121-26%CP：28.46 EUR  DE-612A-35%CP：80.92 EUR  E-ES-028-30%CP：50.63 EUR  F-IT-806-30%CP：47.12 EUR  GATLB英国 989 普货  26%CP：26.52 GBP  GATLD意大利-1154-23%CP：37.38 EUR  GATLD意大利-1154CP：37.38 EUR  GATLD法国-1154-15%CP：28.51 EUR  GATLD法国-1154-23%CP：34.11 EUR  GATLD法国-1154CP：34.11 EUR  GATLE西班牙EUB-28%CP：47.28 EUR  GATLH加拿大EUBCP：75.22 CAD  US-415-30%CP：34.56 USD  中东站价格CP：439.14 AED  德国1158-26%CP：35.89 EUR  极兔德国专线1156-23%CP：28.06 EUR  亚马逊：16.67 USD  亚马逊：10.97 GBP  亚马逊：23.31 CAD  亚马逊：18.89 AUD  亚马逊：24.24 EUR  亚马逊：20.04 EUR  亚马逊：1796.74 JPY  亚马逊：21.4 EUR  亚马逊：26.17 EUR  亚马逊：25.1 EUR  亚马逊：251.54 MXN  </t>
  </si>
  <si>
    <t>300</t>
  </si>
  <si>
    <t>https://s6smzh01rtveqcwq.imgsapp.com/afsd/8371/8110443006463510159717.jpg</t>
  </si>
  <si>
    <t>https://ducid1wymyyw4hlk.imgsapp.com/afsd/8371/7310443042646912274526.jpg</t>
  </si>
  <si>
    <t>https://ia2ophk2s9onpbxi.imgsapp.com/afsd/8371/0160443005743520579892.jpg</t>
  </si>
  <si>
    <t>Tissus et tombé : confectionnée dans des tissus de qualité comme le tulle, la mousseline ou le jacquard, offrant un tombé souple, léger et fluide qui accompagne chaque mouvement avec élégance et légèreté.</t>
  </si>
  <si>
    <t>Confort et ajustement : taille élastique et coupe trapèze pour un ajustement confortable, une liberté de mouvement appréciable et une silhouette flatteuse qui convient à différentes morphologies sans sacrifier le style.</t>
  </si>
  <si>
    <t>Style et détails : manches bouffantes, col carré ou col rond et volants délicats pour une allure romantique, festive et raffinée, parfaite pour les occasions spéciales ou les tenues de scène.</t>
  </si>
  <si>
    <t>Occasions : convient pour robe de soirée, robe de fête, soirée costumée ou déguisement médiéval, s’adaptant aux ambiances élégantes comme aux reconstitutions historiques ou aux festivals à thème.</t>
  </si>
  <si>
    <t>Polyvalence et conseil : se porte au quotidien comme sur scène, en spectacle ou en séance cosplay ; avant l’achat, veuillez consulter le guide des tailles pour choisir la coupe la mieux adaptée.</t>
  </si>
  <si>
    <t>Agrafe</t>
  </si>
  <si>
    <t>ASH260708004BKL</t>
  </si>
  <si>
    <t>9Y0mfabfzhaddic1</t>
  </si>
  <si>
    <t>女士休闲舒适收腰半身裙子 黑色 L</t>
  </si>
  <si>
    <t xml:space="preserve">028 普货 25%CP：21.48 EUR  1026 450克以内 24%CP：25.01 USD  1026 450克以内 30%CP：29.85 USD  1026 450克以内25%CP：25.7 USD  1026_450克以内_20CP：22.57 USD  1026_450克以内_26CP：26.44 USD  969_普货_30CP：27.01 GBP  989  26%CP：44.21 EUR  989 普货 24%CP：29.78 USD  A1-US-048-30%CP：28.36 USD  A1美国280-28%CP：35.25 USD  BALP-德国建议价：59.19 EUR  D-FR-806-30%CP：39.32 EUR  DE-1121-26%CP：26.66 EUR  DE-612A-35%CP：75.14 EUR  E-ES-028-30%CP：48.56 EUR  F-IT-806-30%CP：45.97 EUR  GATLB英国 989 普货  26%CP：25.69 GBP  GATLD意大利-1154-23%CP：36.62 EUR  GATLD意大利-1154CP：36.62 EUR  GATLD法国-1154-15%CP：27.66 EUR  GATLD法国-1154-23%CP：33.08 EUR  GATLD法国-1154CP：33.08 EUR  GATLE西班牙EUB-28%CP：45.35 EUR  GATLH加拿大EUBCP：69.7 CAD  US-415-30%CP：32.33 USD  中东站价格CP：439.14 AED  德国1158-26%CP：35.23 EUR  极兔德国专线1156-23%CP：27.1 EUR  亚马逊：15.75 USD  亚马逊：10.41 GBP  亚马逊：22.32 CAD  亚马逊：17.99 AUD  亚马逊：23.26 EUR  亚马逊：19.69 EUR  亚马逊：1748.55 JPY  亚马逊：20.94 EUR  亚马逊：25.29 EUR  亚马逊：24.23 EUR  亚马逊：239.01 MXN  </t>
  </si>
  <si>
    <t>254</t>
  </si>
  <si>
    <t>https://aa5rpm0nte5hsal3.imgsapp.com/afsd/8371/8790609510614014111968.jpg</t>
  </si>
  <si>
    <t>https://xnerriqnf3wxh3th.imgsapp.com/afsd/8371/8310442532993513163891.jpg</t>
  </si>
  <si>
    <t>https://z243tojtxa6c9fge.imgsapp.com/afsd/8371/0460443042646912274526.jpg</t>
  </si>
  <si>
    <t>https://uxle8uuzop72ss3k.imgsapp.com/afsd/8371/9920442532543520850934.jpg</t>
  </si>
  <si>
    <t>ASH260708004BKM</t>
  </si>
  <si>
    <t>eYquzobfzhadi5FH</t>
  </si>
  <si>
    <t>女士休闲舒适收腰半身裙子 黑色 M</t>
  </si>
  <si>
    <t xml:space="preserve">028 普货 25%CP：21.79 EUR  1026 450克以内 24%CP：25.42 USD  1026 450克以内 30%CP：30.34 USD  1026 450克以内25%CP：26.12 USD  1026_450克以内_20CP：22.94 USD  1026_450克以内_26CP：26.87 USD  969_普货_30CP：27.29 GBP  989  26%CP：44.43 EUR  989 普货 24%CP：30.26 USD  A1-US-048-30%CP：28.77 USD  A1美国280-28%CP：36.03 USD  BALP-德国建议价：59.55 EUR  D-FR-806-30%CP：39.61 EUR  DE-1121-26%CP：27.16 EUR  DE-612A-35%CP：76.74 EUR  E-ES-028-30%CP：49.13 EUR  F-IT-806-30%CP：46.28 EUR  GATLB英国 989 普货  26%CP：25.92 GBP  GATLD意大利-1154-23%CP：36.83 EUR  GATLD意大利-1154CP：36.83 EUR  GATLD法国-1154-15%CP：27.89 EUR  GATLD法国-1154-23%CP：33.37 EUR  GATLD法国-1154CP：33.37 EUR  GATLE西班牙EUB-28%CP：45.88 EUR  GATLH加拿大EUBCP：71.22 CAD  US-415-30%CP：32.94 USD  中东站价格CP：439.14 AED  德国1158-26%CP：35.41 EUR  极兔德国专线1156-23%CP：27.36 EUR  亚马逊：16.0 USD  亚马逊：10.57 GBP  亚马逊：22.6 CAD  亚马逊：18.25 AUD  亚马逊：23.53 EUR  亚马逊：19.79 EUR  亚马逊：1761.59 JPY  亚马逊：21.07 EUR  亚马逊：25.53 EUR  亚马逊：24.47 EUR  亚马逊：242.47 MXN  </t>
  </si>
  <si>
    <t>266.7</t>
  </si>
  <si>
    <t>https://7sz8cbuemh9vjq0n.imgsapp.com/afsd/8371/8790609510614014111968.jpg</t>
  </si>
  <si>
    <t>https://92yd973uy8h7z74e.imgsapp.com/afsd/8371/8310442532993513163891.jpg</t>
  </si>
  <si>
    <t>https://xr5kerczpq6gbngq.imgsapp.com/afsd/8371/0460443042646912274526.jpg</t>
  </si>
  <si>
    <t>https://l638vfuzc9amtmy2.imgsapp.com/afsd/8371/9920442532543520850934.jpg</t>
  </si>
  <si>
    <t>ASH260708004BKS</t>
  </si>
  <si>
    <t>6lOmqhbfzhadgvUh</t>
  </si>
  <si>
    <t>女士休闲舒适收腰半身裙子 黑色 S</t>
  </si>
  <si>
    <t>https://wix4fqxbxekkebxn.imgsapp.com/afsd/8371/8790609510614014111968.jpg</t>
  </si>
  <si>
    <t>https://9c71rhj26gqvjifx.imgsapp.com/afsd/8371/8310442532993513163891.jpg</t>
  </si>
  <si>
    <t>https://7r9su5xjxg6k93ow.imgsapp.com/afsd/8371/0460443042646912274526.jpg</t>
  </si>
  <si>
    <t>https://wd9y5s9dmiq8mz46.imgsapp.com/afsd/8371/9920442532543520850934.jpg</t>
  </si>
  <si>
    <t>ASH260708004BKXL</t>
  </si>
  <si>
    <t>hR2ifmbfzhad93rK</t>
  </si>
  <si>
    <t>女士休闲舒适收腰半身裙子 黑色 XL</t>
  </si>
  <si>
    <t xml:space="preserve">028 普货 25%CP：22.42 EUR  1026 450克以内 24%CP：26.24 USD  1026 450克以内 30%CP：31.32 USD  1026 450克以内25%CP：26.97 USD  1026_450克以内_20CP：23.68 USD  1026_450克以内_26CP：27.74 USD  969_普货_30CP：27.83 GBP  989  26%CP：44.88 EUR  989 普货 24%CP：31.2 USD  A1-US-048-30%CP：29.6 USD  A1美国280-28%CP：37.58 USD  BALP-德国建议价：60.29 EUR  D-FR-806-30%CP：40.18 EUR  DE-1121-26%CP：28.15 EUR  DE-612A-35%CP：79.93 EUR  E-ES-028-30%CP：50.27 EUR  F-IT-806-30%CP：46.92 EUR  GATLB英国 989 普货  26%CP：26.37 GBP  GATLD意大利-1154-23%CP：37.25 EUR  GATLD意大利-1154CP：37.25 EUR  GATLD法国-1154-15%CP：28.36 EUR  GATLD法国-1154-23%CP：33.93 EUR  GATLD法国-1154CP：33.93 EUR  GATLE西班牙EUB-28%CP：46.95 EUR  GATLH加拿大EUBCP：74.27 CAD  US-415-30%CP：34.17 USD  中东站价格CP：439.14 AED  德国1158-26%CP：35.78 EUR  极兔德国专线1156-23%CP：27.89 EUR  亚马逊：16.51 USD  亚马逊：10.88 GBP  亚马逊：23.15 CAD  亚马逊：18.76 AUD  亚马逊：24.07 EUR  亚马逊：19.98 EUR  亚马逊：1788.41 JPY  亚马逊：21.32 EUR  亚马逊：26.02 EUR  亚马逊：24.95 EUR  亚马逊：249.4 MXN  </t>
  </si>
  <si>
    <t>292.1</t>
  </si>
  <si>
    <t>https://mu26f7rk49ayko0g.imgsapp.com/afsd/8371/8790609510614014111968.jpg</t>
  </si>
  <si>
    <t>https://vvhhj400y32jlzzi.imgsapp.com/afsd/8371/8310442532993513163891.jpg</t>
  </si>
  <si>
    <t>https://9m6r5kckdcquafa4.imgsapp.com/afsd/8371/0460443042646912274526.jpg</t>
  </si>
  <si>
    <t>https://uni3a3ifa8l63l2v.imgsapp.com/afsd/8371/9920442532543520850934.jpg</t>
  </si>
  <si>
    <t>ASH260721005</t>
  </si>
  <si>
    <t>qLJuTjbfzhadb1ky</t>
  </si>
  <si>
    <t>Robe de Soirée Femme Oktoberfest Servante Col Claudine Évasé</t>
  </si>
  <si>
    <t>Ceinturée Col Claudine Manches Papillon Nœud Cœur Tablier Volants Coupe A Évasé Fête Oktoberfest Robe de Servante</t>
  </si>
  <si>
    <t>女士啤酒节收腰女仆连衣裙 拼接荷叶边前围裙 飞飞袖 翻领 领部及腰部蝴蝶结装饰 心形图案点缀 节日派对A字大摆裙</t>
  </si>
  <si>
    <t xml:space="preserve">028 普货 25%CP：50.47 EUR  969_普货_30CP：68.69 GBP  989  26%CP：97.01 EUR  989 普货 24%CP：57.74 USD  989 普货 25%CP：53.51 USD  A1-US-048-30%CP：56.61 USD  A1美国280-28%CP：68.38 USD  BALP-德国建议价：129.84 EUR  D-FR-806-30%CP：106.99 EUR  DE-1121-26%CP：96.45 EUR  DE-612A-35%CP：259.82 EUR  E-ES-028-30%CP：109.76 EUR  F-IT-806-30%CP：95.94 EUR  GATLB英国 989 普货  26%CP：63.95 GBP  GATLD意大利-1154-23%CP：74.4 EUR  GATLD意大利-1154CP：74.4 EUR  GATLD法国-1154-15%CP：64.73 EUR  GATLD法国-1154-23%CP：81.57 EUR  GATLD法国-1154CP：81.57 EUR  GATLE西班牙EUB-28%CP：101.46 EUR  GATLH加拿大EUBCP：152.68 CAD  US-415-30%CP：61.87 USD  中东站价格CP：349.02 AED  德国1158-26%CP：91.32 EUR  极兔德国专线1156-23%CP：83.65 EUR  亚马逊：33.73 USD  亚马逊：25.49 GBP  亚马逊：47.84 CAD  亚马逊：44.03 AUD  亚马逊：42.91 EUR  亚马逊：36.24 EUR  亚马逊：4181.16 JPY  亚马逊：38.2 EUR  亚马逊：45.01 EUR  亚马逊：43.47 EUR  亚马逊：539.35 MXN  </t>
  </si>
  <si>
    <t>500</t>
  </si>
  <si>
    <t>https://hq40ib91h3oknuef.imgsapp.com/afsd/8466/1910459461023845795213.jpg</t>
  </si>
  <si>
    <t>https://j8isoarf6hig4ezq.imgsapp.com/afsd/8466/8110500031357217243314.jpg</t>
  </si>
  <si>
    <t>https://8amlx0b1az0h098n.imgsapp.com/afsd/8466/8410459459853845908627.jpg</t>
  </si>
  <si>
    <t>https://fi76u9nznsrzretu.imgsapp.com/afsd/8466/0210459460323815475261.jpg</t>
  </si>
  <si>
    <t>1pc 宫廷风服装</t>
  </si>
  <si>
    <t>Col festonné</t>
  </si>
  <si>
    <t>Col peter pan</t>
  </si>
  <si>
    <t>Détails travaillés : laçage croisé, œillets métalliques, corset et ceinture pour une tenue bien ajustée, au look affirmé et à la finition robuste qui ajoute du caractère et de l’originalité à l’ensemble.</t>
  </si>
  <si>
    <t>Matières nobles : velours et satin pour un rendu élégant et lumineux, offrant une texture douce, un aspect riche et une allure sophistiquée qui convient aux événements habillés comme aux costumes.</t>
  </si>
  <si>
    <t>Styles et thèmes : robe gothique, robe médiévale ou robe de cour pour vos événements à thème, Halloween, reconstitutions ou soirées costumées, avec une esthétique immersive et soignée.</t>
  </si>
  <si>
    <t>Volume et mouvement : jupe ample et évasée à plusieurs couches pour un volume gracieux en mouvement, créant une silhouette majestueuse et fluide qui accompagne chaque pas avec légèreté.</t>
  </si>
  <si>
    <t>Coupe et conseil : coupe flatteuse qui accompagne la silhouette avec confort ; avant l’achat, veuillez consulter le guide des tailles pour un maintien optimal et un tombé impeccable.</t>
  </si>
  <si>
    <t>Manche papillon</t>
  </si>
  <si>
    <t>À enfiler</t>
  </si>
  <si>
    <t>ASH260721005BKL</t>
  </si>
  <si>
    <t>1hEiupbfzhadv2oU</t>
  </si>
  <si>
    <t>女士啤酒节收腰连衣裙飞飞袖围裙优雅女仆裙 黑色 L</t>
  </si>
  <si>
    <t>https://k1yrqfwp4zzfai95.imgsapp.com/afsd/8466/6840501524213869723463.jpg</t>
  </si>
  <si>
    <t>https://nnuv1ggwklw1qcqb.imgsapp.com/afsd/8466/3520459388233810891349.jpg</t>
  </si>
  <si>
    <t>https://ea13ru1a9ipccwbx.imgsapp.com/afsd/8466/6570500031357217243314.jpg</t>
  </si>
  <si>
    <t>https://yoctj230txybrvk4.imgsapp.com/afsd/8466/0440459386673811294161.jpg</t>
  </si>
  <si>
    <t>https://yf9xroyxz3hj7bbj.imgsapp.com/afsd/8466/3750459387373868900184.jpg</t>
  </si>
  <si>
    <t>ASH260721005BKL2</t>
  </si>
  <si>
    <t>pd5qtFbfzhadjznj</t>
  </si>
  <si>
    <t>女士啤酒节收腰连衣裙飞飞袖围裙优雅女仆裙 黑色 XXL</t>
  </si>
  <si>
    <t>https://jt8gnbsmshwxk5m9.imgsapp.com/afsd/8466/6840501524213869723463.jpg</t>
  </si>
  <si>
    <t>https://43kaelzsuzqzzq35.imgsapp.com/afsd/8466/3520459388233810891349.jpg</t>
  </si>
  <si>
    <t>https://ubtd8thflppoqpp2.imgsapp.com/afsd/8466/6570500031357217243314.jpg</t>
  </si>
  <si>
    <t>https://wrp3pe1giorvxb0u.imgsapp.com/afsd/8466/0440459386673811294161.jpg</t>
  </si>
  <si>
    <t>https://3mq81tb15vtm68oc.imgsapp.com/afsd/8466/3750459387373868900184.jpg</t>
  </si>
  <si>
    <t>ASH260721005BKL3</t>
  </si>
  <si>
    <t>bI2bcbbfzhadDuuZ</t>
  </si>
  <si>
    <t>女士啤酒节收腰连衣裙飞飞袖围裙优雅女仆裙 黑色 XXXL</t>
  </si>
  <si>
    <t>3TG</t>
  </si>
  <si>
    <t>https://3hyvjbdf76w4z423.imgsapp.com/afsd/8466/6840501524213869723463.jpg</t>
  </si>
  <si>
    <t>https://9j0i1me8pfkh6q93.imgsapp.com/afsd/8466/3520459388233810891349.jpg</t>
  </si>
  <si>
    <t>https://rr17o4lqybnczede.imgsapp.com/afsd/8466/6570500031357217243314.jpg</t>
  </si>
  <si>
    <t>https://gzejh6w2eo2lkkyd.imgsapp.com/afsd/8466/0440459386673811294161.jpg</t>
  </si>
  <si>
    <t>https://ubq7iat8369k3tq1.imgsapp.com/afsd/8466/3750459387373868900184.jpg</t>
  </si>
  <si>
    <t>ASH260721005BKL4</t>
  </si>
  <si>
    <t>rKANICbfzhadcVGi</t>
  </si>
  <si>
    <t>女士啤酒节收腰连衣裙飞飞袖围裙优雅女仆裙 黑色 XXXXL</t>
  </si>
  <si>
    <t>4TG</t>
  </si>
  <si>
    <t>https://p1fgx1hsq9fjna5c.imgsapp.com/afsd/8466/6840501524213869723463.jpg</t>
  </si>
  <si>
    <t>https://ydk3zh5ippo6477r.imgsapp.com/afsd/8466/3520459388233810891349.jpg</t>
  </si>
  <si>
    <t>https://bj2lgi07p700e5zy.imgsapp.com/afsd/8466/6570500031357217243314.jpg</t>
  </si>
  <si>
    <t>https://b2ms2m282jdluu5n.imgsapp.com/afsd/8466/0440459386673811294161.jpg</t>
  </si>
  <si>
    <t>https://2zf08823bvotgaou.imgsapp.com/afsd/8466/3750459387373868900184.jpg</t>
  </si>
  <si>
    <t>ASH260721005BKL5</t>
  </si>
  <si>
    <t>1274SqbfzhadtZdM</t>
  </si>
  <si>
    <t>女士啤酒节收腰连衣裙飞飞袖围裙优雅女仆裙 黑色 XXXXXL</t>
  </si>
  <si>
    <t>5TG</t>
  </si>
  <si>
    <t>https://niy5wz4168699z15.imgsapp.com/afsd/8466/6840501524213869723463.jpg</t>
  </si>
  <si>
    <t>https://sxmjmjuurk9gs5ui.imgsapp.com/afsd/8466/3520459388233810891349.jpg</t>
  </si>
  <si>
    <t>https://6xdaxrb1v0gf57rh.imgsapp.com/afsd/8466/6570500031357217243314.jpg</t>
  </si>
  <si>
    <t>https://34nt7gqqxt0b7m5t.imgsapp.com/afsd/8466/0440459386673811294161.jpg</t>
  </si>
  <si>
    <t>https://ckaoqxstybtcvrgq.imgsapp.com/afsd/8466/3750459387373868900184.jpg</t>
  </si>
  <si>
    <t>ASH260721005BKM</t>
  </si>
  <si>
    <t>KyFYXgbfzhadOhNZ</t>
  </si>
  <si>
    <t>女士啤酒节收腰连衣裙飞飞袖围裙优雅女仆裙 黑色 M</t>
  </si>
  <si>
    <t>https://uvd4dep2b0tt9457.imgsapp.com/afsd/8466/6840501524213869723463.jpg</t>
  </si>
  <si>
    <t>https://69hga451vqtx2cqo.imgsapp.com/afsd/8466/3520459388233810891349.jpg</t>
  </si>
  <si>
    <t>https://37wdw9xe0g13oh11.imgsapp.com/afsd/8466/6570500031357217243314.jpg</t>
  </si>
  <si>
    <t>https://3jucxrbq4xjyzviq.imgsapp.com/afsd/8466/0440459386673811294161.jpg</t>
  </si>
  <si>
    <t>https://wtzn9qan7cz0ah6c.imgsapp.com/afsd/8466/3750459387373868900184.jpg</t>
  </si>
  <si>
    <t>ASH260721005BKS</t>
  </si>
  <si>
    <t>XYCGTobfzhadflSz</t>
  </si>
  <si>
    <t>女士啤酒节收腰连衣裙飞飞袖围裙优雅女仆裙 黑色 S</t>
  </si>
  <si>
    <t>https://jdi7hk1jo31fpmzm.imgsapp.com/afsd/8466/6840501524213869723463.jpg</t>
  </si>
  <si>
    <t>https://79vrfws9uvrhbf03.imgsapp.com/afsd/8466/3520459388233810891349.jpg</t>
  </si>
  <si>
    <t>https://djxva13mno2ad3ho.imgsapp.com/afsd/8466/6570500031357217243314.jpg</t>
  </si>
  <si>
    <t>https://im3kg4mrmpqfexau.imgsapp.com/afsd/8466/0440459386673811294161.jpg</t>
  </si>
  <si>
    <t>https://uovz36olq1p1itfd.imgsapp.com/afsd/8466/3750459387373868900184.jpg</t>
  </si>
  <si>
    <t>ASH260721005BKXL</t>
  </si>
  <si>
    <t>wqdjdobfzhadG44A</t>
  </si>
  <si>
    <t>女士啤酒节收腰连衣裙飞飞袖围裙优雅女仆裙 黑色 XL</t>
  </si>
  <si>
    <t>https://6x2oz802vimunl9n.imgsapp.com/afsd/8466/6840501524213869723463.jpg</t>
  </si>
  <si>
    <t>https://m9sx87o0c9wsb5i3.imgsapp.com/afsd/8466/3520459388233810891349.jpg</t>
  </si>
  <si>
    <t>https://q8zdkwm1atfr5yrd.imgsapp.com/afsd/8466/6570500031357217243314.jpg</t>
  </si>
  <si>
    <t>https://d66c12w3fzn57jry.imgsapp.com/afsd/8466/0440459386673811294161.jpg</t>
  </si>
  <si>
    <t>https://pb092912xvwdggih.imgsapp.com/afsd/8466/3750459387373868900184.jpg</t>
  </si>
  <si>
    <t>AYH250521014</t>
  </si>
  <si>
    <t>FexVI2bfzhadzkCW</t>
  </si>
  <si>
    <t>Robe Médiévale Fille Cour Cosplay Épaules Dénudées Sans Manches</t>
  </si>
  <si>
    <t>Épaules Dénudées Manches Bouffantes Volant Festonné Col Rond, Jacquard Laçage Croisé Volants, Médiéval Cour Cosplay</t>
  </si>
  <si>
    <t>女童中世纪宫廷舞台演出服cosplay套装 露肩泡泡袖木耳边圆领内搭 无袖印花提花罩裙 胸前交叉绑带装饰 荷叶边拼接下摆</t>
  </si>
  <si>
    <t>Grey</t>
  </si>
  <si>
    <t xml:space="preserve">028 普货 25%CP：39.28 EUR  1026 450克以内 24%CP：38.83 USD  1026 450克以内 30%CP：45.3 USD  1026 450克以内25%CP：39.77 USD  1026_450克以内_20CP：35.45 USD  1026_450克以内_26CP：40.77 USD  969_普货_30CP：54.22 GBP  989  26%CP：82.12 EUR  989 普货 24%CP：44.45 USD  A1-US-048-30%CP：43.91 USD  A1美国280-28%CP：49.63 USD  BALP-德国建议价：110.27 EUR  D-FR-806-30%CP：87.64 EUR  DE-1121-26%CP：72.67 EUR  DE-612A-35%CP：191.69 EUR  E-ES-028-30%CP：87.81 EUR  F-IT-806-30%CP：80.3 EUR  GATLB英国 989 普货  26%CP：51.37 GBP  GATLD意大利-1154-23%CP：62.9 EUR  GATLD意大利-1154CP：62.9 EUR  GATLD法国-1154-15%CP：54.34 EUR  GATLD法国-1154-23%CP：68.47 EUR  GATLD法国-1154CP：68.47 EUR  GATLE西班牙EUB-28%CP：81.17 EUR  GATLH加拿大EUBCP：112.2 CAD  US-415-30%CP：47.61 USD  中东站价格CP：286.45 AED  德国1158-26%CP：76.85 EUR  极兔德国专线1156-23%CP：67.36 EUR  亚马逊：26.03 USD  亚马逊：19.74 GBP  亚马逊：37.42 CAD  亚马逊：34.27 AUD  亚马逊：34.65 EUR  亚马逊：30.64 EUR  亚马逊：3397.46 JPY  亚马逊：32.25 EUR  亚马逊：36.94 EUR  亚马逊：35.57 EUR  亚马逊：419.36 MXN  </t>
  </si>
  <si>
    <t>275</t>
  </si>
  <si>
    <t>https://yjei3c32mwqjtiqr.imgsapp.com/afsd/4798/0590246347301229829057.jpg</t>
  </si>
  <si>
    <t>https://9ufxxkzd8z4axb2u.imgsapp.com/afsd/4798/4870247143131285597786.jpg</t>
  </si>
  <si>
    <t>https://ztmmhcjj4n5ukp0r.imgsapp.com/afsd/4798/7880247144551275395962.jpg</t>
  </si>
  <si>
    <t>https://fcldsvp7zl7o9et5.imgsapp.com/afsd/4798/4690247143851212119560.jpg</t>
  </si>
  <si>
    <t>https://mtuyai2tebgdn6xo.imgsapp.com/afsd/4798/0200312260912217401472.jpg</t>
  </si>
  <si>
    <t>https://k3h3ifpwyza41mf3.imgsapp.com/afsd/4798/0300246074741211152591.jpg</t>
  </si>
  <si>
    <t>https://6hdk96nm5t4oc471.imgsapp.com/afsd/4798/7430246075671220868655.jpg</t>
  </si>
  <si>
    <t>https://lkzivyh676c4znho.imgsapp.com/afsd/4798/0550246076291213554191.jpg</t>
  </si>
  <si>
    <t>https://5i4cdjljkheyb9al.imgsapp.com/afsd/4798/8860246076871217319456.jpg</t>
  </si>
  <si>
    <t>1pc连衣裙+1pc外裙+1pc头饰</t>
  </si>
  <si>
    <t>Col rond</t>
  </si>
  <si>
    <t>Ajustement personnalisé : cordon de serrage et taille haute pour un maintien personnalisé et confortable, permettant d’ajuster la robe à votre morphologie et de souligner la taille selon vos envies.</t>
  </si>
  <si>
    <t>Détails folkloriques : volants, tablier et nœud apportent une touche folklorique et champêtre, renforçant le style traditionnel, chaleureux et authentique de la tenue pour les fêtes de village ou déguisements.</t>
  </si>
  <si>
    <t>Matières et confort : matières respirantes et douces, comme le coton et la dentelle, pour un port prolongé sans gêne, même lors des longues journées de fête, de spectacle ou de représentation sur scène.</t>
  </si>
  <si>
    <t>Polyvalence : robe décontractée ou robe de princesse selon vos envies et vos occasions, s’adaptant facilement à un usage quotidien stylé ou à un costume féerique et romantique.</t>
  </si>
  <si>
    <t>Occasions et conseil : se prête aux fêtes de village, aux soirées déguisées et aux représentations sur scène ; avant l’achat, veuillez consulter le guide des tailles pour bien choisir votre coupe.</t>
  </si>
  <si>
    <t>Manche bouffante</t>
  </si>
  <si>
    <t>AYH250521014GY120</t>
  </si>
  <si>
    <t>svzTWxbfzhad1t1Z</t>
  </si>
  <si>
    <t>女童连衣裙舞台演出服中世纪宫廷裙装cos服套装 灰色 120</t>
  </si>
  <si>
    <t>Gris</t>
  </si>
  <si>
    <t xml:space="preserve">028 普货 25%CP：38.88 EUR  1026 450克以内 24%CP：38.4 USD  1026 450克以内 30%CP：44.8 USD  1026 450克以内25%CP：39.33 USD  1026_450克以内_20CP：35.06 USD  1026_450克以内_26CP：40.32 USD  969_普货_30CP：53.88 GBP  989  26%CP：81.81 EUR  989 普货 24%CP：43.96 USD  A1-US-048-30%CP：43.48 USD  A1美国280-28%CP：48.84 USD  BALP-德国建议价：109.67 EUR  D-FR-806-30%CP：87.16 EUR  DE-1121-26%CP：71.82 EUR  DE-612A-35%CP：188.39 EUR  E-ES-028-30%CP：87.03 EUR  F-IT-806-30%CP：79.87 EUR  GATLB英国 989 普货  26%CP：51.08 GBP  GATLD意大利-1154-23%CP：62.62 EUR  GATLD意大利-1154CP：62.62 EUR  GATLD法国-1154-15%CP：53.99 EUR  GATLD法国-1154-23%CP：68.04 EUR  GATLD法国-1154CP：68.04 EUR  GATLE西班牙EUB-28%CP：80.45 EUR  GATLH加拿大EUBCP：110.39 CAD  US-415-30%CP：46.99 USD  中东站价格CP：286.45 AED  德国1158-26%CP：76.55 EUR  极兔德国专线1156-23%CP：66.92 EUR  亚马逊：25.73 USD  亚马逊：19.55 GBP  亚马逊：37.09 CAD  亚马逊：33.98 AUD  亚马逊：34.33 EUR  亚马逊：30.53 EUR  亚马逊：3381.52 JPY  亚马逊：32.1 EUR  亚马逊：36.66 EUR  亚马逊：35.29 EUR  亚马逊：415.28 MXN  </t>
  </si>
  <si>
    <t>260</t>
  </si>
  <si>
    <t>https://v37gbf6smkd9nawl.imgsapp.com/afsd/4798/3380245506341275878097.jpg</t>
  </si>
  <si>
    <t>https://a90h8el10vx2ea05.imgsapp.com/afsd/4798/5670245503491219466681.jpg</t>
  </si>
  <si>
    <t>https://843xk6gzzb7ib18k.imgsapp.com/afsd/4798/9790245504611243891848.jpg</t>
  </si>
  <si>
    <t>https://8wg0dw8x4iqxk0yt.imgsapp.com/afsd/4798/0220245505981245930449.jpg</t>
  </si>
  <si>
    <t>https://jf2ep0m7vu9hxlge.imgsapp.com/afsd/4798/9160245505291266535615.jpg</t>
  </si>
  <si>
    <t>https://mwnsiz7u2ti9efzw.imgsapp.com/afsd/4798/5600312260912217401472.jpg</t>
  </si>
  <si>
    <t>https://fc1hqp3bwcwtnkfm.imgsapp.com/afsd/4798/7590245507081213903727.jpg</t>
  </si>
  <si>
    <t>https://ojwn5fsbcw338j7l.imgsapp.com/afsd/4798/0280245507831212020557.jpg</t>
  </si>
  <si>
    <t>https://yfevaqir707xvcsi.imgsapp.com/afsd/4798/0990245510181213079541.jpg</t>
  </si>
  <si>
    <t>AYH250521014GY130</t>
  </si>
  <si>
    <t>ZZsb6FbfzhadmjQt</t>
  </si>
  <si>
    <t>女童连衣裙舞台演出服中世纪宫廷裙装cos服套装 灰色 130</t>
  </si>
  <si>
    <t xml:space="preserve">028 普货 25%CP：39.15 EUR  1026 450克以内 24%CP：38.68 USD  1026 450克以内 30%CP：45.13 USD  1026 450克以内25%CP：39.63 USD  1026_450克以内_20CP：35.32 USD  1026_450克以内_26CP：40.62 USD  969_普货_30CP：54.1 GBP  989  26%CP：82.02 EUR  989 普货 24%CP：44.29 USD  A1-US-048-30%CP：43.77 USD  A1美国280-28%CP：49.37 USD  BALP-德国建议价：110.07 EUR  D-FR-806-30%CP：87.48 EUR  DE-1121-26%CP：72.38 EUR  DE-612A-35%CP：190.59 EUR  E-ES-028-30%CP：87.55 EUR  F-IT-806-30%CP：80.16 EUR  GATLB英国 989 普货  26%CP：51.27 GBP  GATLD意大利-1154-23%CP：62.8 EUR  GATLD意大利-1154CP：62.8 EUR  GATLD法国-1154-15%CP：54.22 EUR  GATLD法国-1154-23%CP：68.33 EUR  GATLD法国-1154CP：68.33 EUR  GATLE西班牙EUB-28%CP：80.93 EUR  GATLH加拿大EUBCP：111.59 CAD  US-415-30%CP：47.4 USD  中东站价格CP：286.45 AED  德国1158-26%CP：76.75 EUR  极兔德国专线1156-23%CP：67.21 EUR  亚马逊：25.93 USD  亚马逊：19.67 GBP  亚马逊：37.31 CAD  亚马逊：34.17 AUD  亚马逊：34.54 EUR  亚马逊：30.6 EUR  亚马逊：3392.03 JPY  亚马逊：32.2 EUR  亚马逊：36.85 EUR  亚马逊：35.48 EUR  亚马逊：418.0 MXN  </t>
  </si>
  <si>
    <t>270</t>
  </si>
  <si>
    <t>https://7s7irvyunpq1i3z8.imgsapp.com/afsd/4798/3380245506341275878097.jpg</t>
  </si>
  <si>
    <t>https://9xtrrr0vbxjpbxdt.imgsapp.com/afsd/4798/5670245503491219466681.jpg</t>
  </si>
  <si>
    <t>https://hbbjjlik59l99azf.imgsapp.com/afsd/4798/9790245504611243891848.jpg</t>
  </si>
  <si>
    <t>https://npeyaj1jc3wop734.imgsapp.com/afsd/4798/0220245505981245930449.jpg</t>
  </si>
  <si>
    <t>https://w2v90oum92w17w7m.imgsapp.com/afsd/4798/9160245505291266535615.jpg</t>
  </si>
  <si>
    <t>https://3y0s28acc4joxm15.imgsapp.com/afsd/4798/5600312260912217401472.jpg</t>
  </si>
  <si>
    <t>https://g2fwyq478zdwnxrl.imgsapp.com/afsd/4798/7590245507081213903727.jpg</t>
  </si>
  <si>
    <t>https://9804pisswd2hlzka.imgsapp.com/afsd/4798/0280245507831212020557.jpg</t>
  </si>
  <si>
    <t>https://szy777h6qd2utj9r.imgsapp.com/afsd/4798/0990245510181213079541.jpg</t>
  </si>
  <si>
    <t>AYH250521014GY140</t>
  </si>
  <si>
    <t>ksc7QqbfzhadfPz6</t>
  </si>
  <si>
    <t>女童连衣裙舞台演出服中世纪宫廷裙装cos服套装 灰色 140</t>
  </si>
  <si>
    <t xml:space="preserve">028 普货 25%CP：39.41 EUR  1026 450克以内 24%CP：38.97 USD  1026 450克以内 30%CP：45.46 USD  1026 450克以内25%CP：39.92 USD  1026_450克以内_20CP：35.58 USD  1026_450克以内_26CP：40.92 USD  969_普货_30CP：54.33 GBP  989  26%CP：82.22 EUR  989 普货 24%CP：44.61 USD  A1-US-048-30%CP：44.05 USD  A1美国280-28%CP：49.9 USD  BALP-德国建议价：110.47 EUR  D-FR-806-30%CP：87.8 EUR  DE-1121-26%CP：72.95 EUR  DE-612A-35%CP：192.78 EUR  E-ES-028-30%CP：88.07 EUR  F-IT-806-30%CP：80.45 EUR  GATLB英国 989 普货  26%CP：51.46 GBP  GATLD意大利-1154-23%CP：62.99 EUR  GATLD意大利-1154CP：62.99 EUR  GATLD法国-1154-15%CP：54.46 EUR  GATLD法国-1154-23%CP：68.62 EUR  GATLD法国-1154CP：68.62 EUR  GATLE西班牙EUB-28%CP：81.41 EUR  GATLH加拿大EUBCP：112.79 CAD  US-415-30%CP：47.82 USD  中东站价格CP：286.45 AED  德国1158-26%CP：76.95 EUR  极兔德国专线1156-23%CP：67.5 EUR  亚马逊：26.13 USD  亚马逊：19.8 GBP  亚马逊：37.53 CAD  亚马逊：34.37 AUD  亚马逊：34.76 EUR  亚马逊：30.68 EUR  亚马逊：3402.54 JPY  亚马逊：32.3 EUR  亚马逊：37.04 EUR  亚马逊：35.66 EUR  亚马逊：420.73 MXN  </t>
  </si>
  <si>
    <t>280</t>
  </si>
  <si>
    <t>https://mmeyvp5kv5f5bnoq.imgsapp.com/afsd/4798/3380245506341275878097.jpg</t>
  </si>
  <si>
    <t>https://02plh5u59ay2n6le.imgsapp.com/afsd/4798/5670245503491219466681.jpg</t>
  </si>
  <si>
    <t>https://3erxglltwr4zygd4.imgsapp.com/afsd/4798/9790245504611243891848.jpg</t>
  </si>
  <si>
    <t>https://2n5s30p659kbw850.imgsapp.com/afsd/4798/0220245505981245930449.jpg</t>
  </si>
  <si>
    <t>https://7il4qr7yvkkby6mc.imgsapp.com/afsd/4798/9160245505291266535615.jpg</t>
  </si>
  <si>
    <t>https://1cr5pu66fjrxez4j.imgsapp.com/afsd/4798/5600312260912217401472.jpg</t>
  </si>
  <si>
    <t>https://j69w5wk0fy42f6h8.imgsapp.com/afsd/4798/7590245507081213903727.jpg</t>
  </si>
  <si>
    <t>https://uf1cdkr98rhom0s3.imgsapp.com/afsd/4798/0280245507831212020557.jpg</t>
  </si>
  <si>
    <t>https://vxxspurcbfn5azn8.imgsapp.com/afsd/4798/0990245510181213079541.jpg</t>
  </si>
  <si>
    <t>AYH250521014GY150</t>
  </si>
  <si>
    <t>cuJY9XbfzhadQHfi</t>
  </si>
  <si>
    <t>女童连衣裙舞台演出服中世纪宫廷裙装cos服套装 灰色 150</t>
  </si>
  <si>
    <t xml:space="preserve">028 普货 25%CP：41.58 EUR  1026 450克以内 24%CP：41.31 USD  1026 450克以内 30%CP：48.19 USD  1026 450克以内25%CP：42.31 USD  1026_450克以内_20CP：37.71 USD  1026_450克以内_26CP：43.37 USD  969_普货_30CP：56.8 GBP  989  26%CP：83.9 EUR  989 普货 24%CP：47.26 USD  A1-US-048-30%CP：46.36 USD  A1美国280-28%CP：54.25 USD  BALP-德国建议价：114.97 EUR  D-FR-806-30%CP：90.41 EUR  DE-1121-26%CP：77.58 EUR  DE-612A-35%CP：210.82 EUR  E-ES-028-30%CP：92.32 EUR  F-IT-806-30%CP：82.79 EUR  GATLB英国 989 普货  26%CP：53.19 GBP  GATLD意大利-1154-23%CP：64.51 EUR  GATLD意大利-1154CP：64.51 EUR  GATLD法国-1154-15%CP：56.37 EUR  GATLD法国-1154-23%CP：71.04 EUR  GATLD法国-1154CP：71.04 EUR  GATLE西班牙EUB-28%CP：85.33 EUR  GATLH加拿大EUBCP：122.65 CAD  US-415-30%CP：51.24 USD  中东站价格CP：305.39 AED  德国1158-26%CP：79.2 EUR  极兔德国专线1156-23%CP：69.88 EUR  亚马逊：27.76 USD  亚马逊：20.78 GBP  亚马逊：39.94 CAD  亚马逊：35.98 AUD  亚马逊：36.52 EUR  亚马逊：31.55 EUR  亚马逊：3488.77 JPY  亚马逊：33.11 EUR  亚马逊：38.6 EUR  亚马逊：37.2 EUR  亚马逊：443.05 MXN  </t>
  </si>
  <si>
    <t>362</t>
  </si>
  <si>
    <t>https://16m1f1jug5xtwnhr.imgsapp.com/afsd/4798/3380245506341275878097.jpg</t>
  </si>
  <si>
    <t>https://fgf67lp05npjirjv.imgsapp.com/afsd/4798/5670245503491219466681.jpg</t>
  </si>
  <si>
    <t>https://5au3rkho8pq1k1u8.imgsapp.com/afsd/4798/9790245504611243891848.jpg</t>
  </si>
  <si>
    <t>https://3a3fp21dbjufgbkc.imgsapp.com/afsd/4798/0220245505981245930449.jpg</t>
  </si>
  <si>
    <t>https://5y1jxtkgi4m58c5o.imgsapp.com/afsd/4798/9160245505291266535615.jpg</t>
  </si>
  <si>
    <t>https://ip9u5rbyuqosvewi.imgsapp.com/afsd/4798/5600312260912217401472.jpg</t>
  </si>
  <si>
    <t>https://sk2u29ly9rdf9mwc.imgsapp.com/afsd/4798/7590245507081213903727.jpg</t>
  </si>
  <si>
    <t>https://3nclsxd3hcz3xgox.imgsapp.com/afsd/4798/0280245507831212020557.jpg</t>
  </si>
  <si>
    <t>https://0mnvzomqpngobjyo.imgsapp.com/afsd/4798/0990245510181213079541.jpg</t>
  </si>
  <si>
    <t>Style rétro et bohème : finitions en dentelle et broderies délicates pour une allure rétro, bohème et romantique, idéale pour les ambiances champêtres, les festivals ou les événements costumés à thème.</t>
  </si>
  <si>
    <t>Tissu et confort : tissu fluide qui accompagne chaque mouvement pour un confort agréable, léger et aéré, offrant une sensation de liberté tout en conservant une silhouette élégante et féminine.</t>
  </si>
  <si>
    <t>Manches et coupe : manches longues, manches courtes ou manches bouffantes selon la coupe choisie, permettant d’adapter le look à la saison et au style recherché, tout en gardant une touche délicate.</t>
  </si>
  <si>
    <t>Silhouette : taille ajustée et jupe évasée pour une silhouette équilibrée et élégante, mettant en valeur la taille et apportant du volume à la jupe pour un effet gracieux et flatteur.</t>
  </si>
  <si>
    <t>Adaptabilité et conseil : adaptée aux tenues de fête, aux soirées costumées et aux événements cosplay ; avant l’achat, veuillez consulter le guide des tailles pour un ajustement parfait.</t>
  </si>
  <si>
    <t>Double usage festif : robe de fête et robe de soirée réunies pour vos moments de célébration, offrant une tenue polyvalente adaptée aux réceptions, aux soirées à thème et aux fêtes costumées élégantes.</t>
  </si>
  <si>
    <t>Matières soignées : velours doux, satin brillant ou tulle aérien pour un rendu soigné, lumineux et raffiné, apportant une texture agréable au toucher et un aspect visuel haut de gamme.</t>
  </si>
  <si>
    <t>Coupe corset : coupe corset et laçage croisé pour souligner la taille avec justesse, créant une silhouette structurée et féminine qui met en valeur les formes tout en restant confortable.</t>
  </si>
  <si>
    <t>Volume harmonieux : volants superposés et jupe ample pour un volume harmonieux, donnant de l’ampleur et du mouvement à la tenue pour une allure gracieuse et spectaculaire en toute occasion.</t>
  </si>
  <si>
    <t>Occasions et conseil : convient aux costumes d’Halloween, aux tenues Oktoberfest et au cosplay ; avant l’achat, veuillez consulter le guide des tailles pour choisir la coupe la plus adaptée.</t>
  </si>
  <si>
    <t>Confort et liberté : coupe confortable qui laisse libre de danser, de marcher et de se mouvoir, idéale pour les longues journées de fête, les spectacles ou les reconstitutions sans aucune gêne.</t>
  </si>
  <si>
    <t>Finitions riches : dentelle, broderie et jacquard pour des finitions riches et travaillées, apportant de la texture, du détail et une touche d’élégance à l’ensemble de la robe.</t>
  </si>
  <si>
    <t>Détails pratiques : nœud, tablier et poches apportent une touche pratique et décorative, alliant esthétique soignée et utilité au quotidien ou lors des événements costumés et folkloriques.</t>
  </si>
  <si>
    <t>Thèmes historiques : robe médiévale ou robe gothique pour vos reconstitutions et vos déguisements, avec une esthétique immersive et fidèle qui convient aux fêtes médiévales ou aux soirées sombres.</t>
  </si>
  <si>
    <t>Silhouette et conseil : taille haute et jupe trapèze pour une silhouette gracieuse ; avant l’achat, veuillez consulter le guide des tailles pour un ajustement confortable et flatteur.</t>
  </si>
  <si>
    <t>Légèreté et confort : mousseline légère et tulle vaporeux pour un port aérien et agréable, offrant une sensation de fraîcheur et de légèreté même lors des longues journées ou des soirées animées.</t>
  </si>
  <si>
    <t>Ajustement facile : taille élastique et ceinture pour un ajustement facile et confortable, s’adaptant à différentes morphologies et permettant de personnaliser le maintien selon vos préférences.</t>
  </si>
  <si>
    <t>Détails originaux : œillets métalliques et laçage croisé pour un détail original et robuste, apportant du caractère, de l’authenticité et une touche médiévale ou gothique à la tenue.</t>
  </si>
  <si>
    <t>Occasions variées : adaptée aux soirées costumées, aux festivals et aux séances photos cosplay, offrant une base idéale pour composer un personnage ou une tenue créative et originale.</t>
  </si>
  <si>
    <t>Accessoires et conseil : se marie avec vos accessoires pour composer un look complet ; avant l’achat, veuillez consulter le guide des tailles pour un confort optimal.</t>
  </si>
  <si>
    <t>Style festif et romantique : manches bouffantes et volants pour un style festif et romantique, apportant du volume, de la douceur et une allure de princesse ou de cour très élégante.</t>
  </si>
  <si>
    <t>Encolure soignée : col carré ou col Claudine pour une encolure soignée et élégante, mettant en valeur le visage et le port de tête avec une touche rétro et raffinée.</t>
  </si>
  <si>
    <t>Thèmes princiers : robe de princesse ou robe de cour pour vos événements à thème, idéale pour les mariages, les fêtes costumées, les anniversaires ou les séances photo féeriques.</t>
  </si>
  <si>
    <t>Confort durable : matières douces au toucher pour un confort tout au long de la journée, même lors des longues célébrations, grâce à des tissus agréables et respirants qui respectent la peau.</t>
  </si>
  <si>
    <t>Polyvalence et conseil : coupe évasée qui convient aux tenues de scène comme aux tenues de ville ; avant l’achat, veuillez consulter le guide des tailles pour un ajustement parfait.</t>
  </si>
  <si>
    <t>Polyvalence générale : robe femme pensée pour accompagner vos fêtes, vos spectacles et votre quotidien, offrant une tenue à la fois élégante, confortable et adaptée à de nombreuses occasions.</t>
  </si>
  <si>
    <t>Sélection des tissus : tissus sélectionnés pour leur douceur, leur tenue et leur facilité d’entretien, garantissant un vêtement agréable à porter, résistant et simple à laver au quotidien.</t>
  </si>
  <si>
    <t>Coupe flatteuse : coupe flatteuse avec taille marquée et jupe ample pour une allure soignée, mettant en valeur la silhouette tout en apportant du mouvement et de l’élégance à chaque pas.</t>
  </si>
  <si>
    <t>Finitions raffinées : finitions raffinées avec volants, dentelle et laçage pour un style soigné, romantique et festif qui rehausse l’ensemble de la tenue et attire les compliments.</t>
  </si>
  <si>
    <t>Occasions et conseil : convient à Oktoberfest, Halloween, au cosplay et aux soirées à thème ; avant l’achat, veuillez consulter le guide des tailles pour un ajustement confortable.</t>
  </si>
  <si>
    <t>Jupe Longue Femme À Pois Taille Haute Élastique Décontractée</t>
  </si>
  <si>
    <t>À Pois Taille Haute Élastique Lien Froncé Multicouches Plissé Évasé Décontracté Toutes Saisons Jupe Longue</t>
  </si>
  <si>
    <t>Robe Elegante Femme Oktoberfest Dirndl Velours Manches Dentelle</t>
  </si>
  <si>
    <t>Velours Col Montant Manches Courtes Dentelle, Tablier Rayures Texturé Nœud Ceinture Sans Doublure, Robe Dirndl</t>
  </si>
  <si>
    <t>Col montant</t>
  </si>
  <si>
    <t>Col mock</t>
  </si>
  <si>
    <t>Mancheron</t>
  </si>
  <si>
    <t>Robe Médiévale Femme Pirate Épaules Dénudées Manches Courtes</t>
  </si>
  <si>
    <t>Épaules Dénudées Manches Courtes Volants Cordon de Serrage Laçage Croisé Corset Multicouches Évasé Pirate Robe</t>
  </si>
  <si>
    <t>Col bateau</t>
  </si>
  <si>
    <t>Jupe Trapèze Femme Mi-Longue Taille Haute Élastique Décontractée</t>
  </si>
  <si>
    <t>Mi-Longue Unie Taille Haute Élastique, Plissé Évasé Ceinture Cordon Nœud, Décontracté Oktoberfest Jupe Trapèze</t>
  </si>
  <si>
    <t>Robe Trapèze Femme Oktoberfest Dirndl Col Carré Manches Bouffantes</t>
  </si>
  <si>
    <t>Col Carré Manches Courtes Bouffantes Bicolore Taille Haute Nœud Coupe A Évasé Décontracté Oktoberfest Robe Dirndl</t>
  </si>
  <si>
    <t>Col camp</t>
  </si>
  <si>
    <t>Col carré</t>
  </si>
  <si>
    <t>Robe Princesse Femme Lolita Col Carré Manches Papillon Dentelle</t>
  </si>
  <si>
    <t>Princesse Cour Col Carré Manches Papillon Bicolore Dentelle Volants Multicouches Nœud, Évasé Cosplay Robe Lolita</t>
  </si>
  <si>
    <t>Jupe Gothique Femme Longue Taille Haute Froncé Asymétrique</t>
  </si>
  <si>
    <t>Longue Unie Taille Haute Froncé Volants Court Devant Asymétrique Nœud Lien Plusieurs Couleurs Scène Cosplay Jupe Gothique</t>
  </si>
  <si>
    <t>Robe Ceremonie Femme Oktoberfest Servante Velours Manches Longues</t>
  </si>
  <si>
    <t>Velours, Sans Manches Col Carré Broderie, Taille Haute Nœud Poches Latérales Ourlet Éventail Robe de Servante</t>
  </si>
  <si>
    <t>Manche poète</t>
  </si>
  <si>
    <t>Robe Dentelle Femme Oktoberfest Servante Œillets Métalliques</t>
  </si>
  <si>
    <t>Dentelle Col Carré Noir Froncé Œillets Métalliques Laçage Croisé Broderie Ourlet Éventail Évasé Robe de Servante</t>
  </si>
  <si>
    <t>Robe Leopard Femme Oktoberfest Servante Velours Col Carré</t>
  </si>
  <si>
    <t>Velours Broderie Imprimé Léopard Ceinture Poches Latérales Ourlet Éventail Plusieurs Couleurs, Robe de Servante</t>
  </si>
  <si>
    <t>Robe Leopard Femme Oktoberfest Dirndl Suédine Coupe A</t>
  </si>
  <si>
    <t>Suédine Blanc Manches Papillon Dentelle Taille Haute Nœud Ceinture Imprimé Léopard Évasé Sans Tablier Robe Dirndl</t>
  </si>
  <si>
    <t>Robe Elegante Femme Oktoberfest Servante Velours Col Carré</t>
  </si>
  <si>
    <t>Velours Oktoberfest Col Carré, Manches Dentelle Taille Haute Nœud, Poches Latérales Ourlet Éventail Robe de Servante</t>
  </si>
  <si>
    <t>Robe de Soirée Femme Oktoberfest Servante Sans Manches Satin</t>
  </si>
  <si>
    <t>Sans Manches Col Carré Œillets Métalliques Laçage Croisé Satin Nœud Broderie Tulle Évasé Robe de Servante</t>
  </si>
  <si>
    <t>Robe Décontractée Femme Oktoberfest Dirndl Col Carré Floral</t>
  </si>
  <si>
    <t>Sans Manches Col Carré Unie Imprimé Floral Boutonnage Simple Taille Haute, Coupe A Évasé Tulle Fête Robe Dirndl</t>
  </si>
  <si>
    <t>Bouton</t>
  </si>
  <si>
    <t>Robe Fleurie Femme Oktoberfest Dirndl Col Carré Dentelle</t>
  </si>
  <si>
    <t>Col Carré Manches Courtes Dentelle Boutonnage Simple Taille Haute Imprimé Végétal Rose Longue Robe Dirndl</t>
  </si>
  <si>
    <t>Robe Rouge Femme Oktoberfest Dirndl Blanc À Carreaux</t>
  </si>
  <si>
    <t>Rouge Blanc À Carreaux, Col Rond Manches Bouffantes Liseré Dentelle, Tablier Volants Nœud Cosplay Robe Dirndl</t>
  </si>
  <si>
    <t>Robe Blanche Femme Oktoberfest Servante Manches Bouffantes</t>
  </si>
  <si>
    <t>Blanc Col Carré Œillets Métalliques Laçage Croisé Taille Haute Nœud Broderie Ourlet Éventail Robe de Servante</t>
  </si>
  <si>
    <t>Col U</t>
  </si>
  <si>
    <t>Robe Courte Fille Oktoberfest Servante Halloween Manches Courtes</t>
  </si>
  <si>
    <t>Oktoberfest Halloween Manches Courtes Volants, Col Claudine Nœud Tablier Poches Serre-Tête Fête Robe de Servante</t>
  </si>
  <si>
    <t>Robe Trapèze Femme Oktoberfest Servante Manches Courtes Dentelle</t>
  </si>
  <si>
    <t>Manches Courtes Dentelle Œillets Métalliques Laçage Croisé Taille Haute Nœud Plissé Évasé Robe de Servante</t>
  </si>
  <si>
    <t>Robe Médiévale Femme Cour Halloween Col Carré Manches Cloche</t>
  </si>
  <si>
    <t>Halloween Col Carré Froncé, Manches Cloche Œillets Métalliques Laçage Croisé Corset, Multicouches Évasé Traîne Cour Robe</t>
  </si>
  <si>
    <t>Manche cloche</t>
  </si>
  <si>
    <t>Robe Médiévale Femme Cour Halloween Manches Longues Cloche</t>
  </si>
  <si>
    <t>Cour Halloween Renaissance Velours Épaules Dénudées Manches Cloche Broderie Liseré Doré Coupe A Évasé Robe</t>
  </si>
  <si>
    <t>Robe Noire Femme Oktoberfest Servante Blanc Manches Papillon</t>
  </si>
  <si>
    <t>Oktoberfest Manches Papillon Volants, Col Claudine Nœud Oreilles de Chat Tablier Plissé Courte Dentelle Robe de Servante</t>
  </si>
  <si>
    <t>Robe Décontractée Femme Oktoberfest Servante Col Claudine Tablier</t>
  </si>
  <si>
    <t>Oktoberfest Col Claudine Tablier Volants Taille Haute Nœud Plissé Coupe A Évasé Dentelle Robe de Servante</t>
  </si>
  <si>
    <t>Robe Blanche Femme Oktoberfest Servante Col Claudine Croix Tablier</t>
  </si>
  <si>
    <t>Oktoberfest Blanc Col Claudine, Tablier Volants Poches Croix Dentelle, Coupe A Courte Ange Robe de Servante</t>
  </si>
  <si>
    <t>Robe de Soirée Femme Halloween Médiéval Col Carré Manches Cloche</t>
  </si>
  <si>
    <t>Halloween Renaissance Col Carré Blanc Dentelle Manches Cloche Laçage Croisé Corset Bicolore Satin Coupe A Évasé Robe</t>
  </si>
  <si>
    <t>Robe Dentelle Femme Oktoberfest Servante Blanc Jaune Col Carré</t>
  </si>
  <si>
    <t>Oktoberfest Blanc Jaune Col Carré Crochet, Laçage Croisé Broderie Dentelle Tulle Ourlet Éventail Robe de Servante</t>
  </si>
  <si>
    <t>Robe Sexy Femme Oktoberfest Servante Halloween Épaules Dénudées</t>
  </si>
  <si>
    <t>Halloween Épaules Dénudées Manches Bouffantes Laçage Croisé Broderie Dentelle Marron Tablier Robe de Servante</t>
  </si>
  <si>
    <t>Col carmen</t>
  </si>
  <si>
    <t>Robe Gothique Femme Cour Halloween Velours Manches Longues</t>
  </si>
  <si>
    <t>Cour Halloween Velours Manches Longues Col Carré, Blanc Froncé Cordon de Serrage, Broderie Ceinture Corset Évasé Robe</t>
  </si>
  <si>
    <t>Robe Ceremonie Femme Oktoberfest Servante Blanc Noir Jacquard</t>
  </si>
  <si>
    <t>Blanc Noir Jacquard Col Rond Froncé Manches Courtes Ceinturé Évasé Liseré Plusieurs Couleurs Robe de Servante</t>
  </si>
  <si>
    <t>Manche froncée</t>
  </si>
  <si>
    <t>Robe Rouge Femme Oktoberfest Servante Noir Épaules Dénudées</t>
  </si>
  <si>
    <t>Rouge Noir Épaules Dénudées Nœud Broderie Bretelles Poches Plissé Courte Dentelle Liseré, Robe de Servante</t>
  </si>
  <si>
    <t>Robe de Soirée Femme Oktoberfest Servante Satin Épaules Dénudées</t>
  </si>
  <si>
    <t>Oktoberfest Rouge Noir Satin Épaules Dénudées Bouffantes Laçage Croisé Tablier Nœud Multicouches Robe de Servante</t>
  </si>
  <si>
    <t>Robe a Pois Femme Oktoberfest Servante Rayures Col Carré</t>
  </si>
  <si>
    <t>Rayures Col Carré Manches Courtes, Volants Laçage Croisé Tablier, À Pois Dentelle Coupe A Évasé Robe de Servante</t>
  </si>
  <si>
    <t>Robe Dentelle Femme Oktoberfest Servante Manches Bouffantes</t>
  </si>
  <si>
    <t>À Carreaux Volants Laçage Croisé Corset Taille Haute Nœud Broderie Tulle Ourlet Éventail Évasé Robe de Servante</t>
  </si>
  <si>
    <t>Col volant</t>
  </si>
  <si>
    <t>Robe Fleurie Femme Oktoberfest Servante Volants Manches Courtes</t>
  </si>
  <si>
    <t>Oktoberfest Col Volants Laçage Croisé Taille Haute Nœud, Broderie Dentelle Tulle Ourlet Éventail Robe de Servante</t>
  </si>
  <si>
    <t>Robe Trapèze Femme Oktoberfest Servante Blanc Noir Chope de Bière</t>
  </si>
  <si>
    <t>Blanc Noir Chope de Bière Froncé Ceinturé Tablier Taille Haute Nœud Évasé Plusieurs Couleurs Robe de Servante</t>
  </si>
  <si>
    <t>Robe Dentelle Femme Oktoberfest Servante À Carreaux Papillon</t>
  </si>
  <si>
    <t>À Carreaux, Manches Papillon Œillets Laçage Croisé, Broderie Dentelle Tulle Ourlet Éventail Robe de Servante</t>
  </si>
  <si>
    <t>Robe Corset Femme Gothique Cour Jacquard Manches Longues</t>
  </si>
  <si>
    <t>Jacquard Épaules Dénudées Manches Dentelle Œillets Métalliques Laçage Croisé Court Devant Volants Multicouches Cour Robe</t>
  </si>
  <si>
    <t>Robe Sexy Femme Servante Noir Blanc Manches Courtes</t>
  </si>
  <si>
    <t>Sexy Noir Blanc Manches Courtes Bouffantes, Lien Tablier Volants Bicolore Multicouches Cosplay Robe de Servante</t>
  </si>
  <si>
    <t>Robe Médiévale Femme Servante Col Carré Manches Courtes</t>
  </si>
  <si>
    <t>Médiéval Renaissance Col Carré Bicolore Œillets Métalliques Laçage Croisé Nœud Taille Haute Évasé Robe de Servante</t>
  </si>
  <si>
    <t>Robe Grande Taille Femme Servante Gothique Manches Courtes</t>
  </si>
  <si>
    <t>Grande Taille Gothique Sombre, Manches Bouffantes Laçage Croisé, Nœud Volants Multicouches Steampunk Robe de Servante</t>
  </si>
  <si>
    <t>Robe Gothique Fille Fantôme Halloween Noir Rouge Manches Longues</t>
  </si>
  <si>
    <t>Halloween Gothique Noir Dentelle Manches Longues Col Rond Rose Rouge Tulle Multicouches Voile Vampire Robe Fantôme</t>
  </si>
  <si>
    <t>Robe Noire Femme Oktoberfest Servante Halloween Col Montant</t>
  </si>
  <si>
    <t>Oktoberfest Halloween Col Montant Trèfle à Quatre Feuilles, Noir Laçage Croisé Plissé Courte Robe de Servante</t>
  </si>
  <si>
    <t>À col haut</t>
  </si>
  <si>
    <t>Robe Médiévale Femme Halloween Épaules Dénudées Manches Cloche</t>
  </si>
  <si>
    <t>Halloween Épaules Dénudées Froncé Manches Longues Cloche Bicolore Lien Corset Volants Évasé Longue Scène Robe</t>
  </si>
  <si>
    <t>Robe Courte Femme Oktoberfest Servante Folklorique Rouge Blanc</t>
  </si>
  <si>
    <t>Folklorique Rouge Blanc À Carreaux, Col Rond Volants Bouffantes, Plissé Coupe A Évasé Courte Robe de Servante</t>
  </si>
  <si>
    <t>Robe Médiévale Femme Cour Velours Bicolore Manches Cloche</t>
  </si>
  <si>
    <t>Velours Bicolore Capuche Manches Cloche Laçage Croisé Corset Coupe A Évasé Longueur Sol Halloween Cour Robe</t>
  </si>
  <si>
    <t>À capuche</t>
  </si>
  <si>
    <t>Robe Bustier Femme Gothique Cour Jacquard Corset Longue</t>
  </si>
  <si>
    <t>Jacquard Corset Laçage Croisé Boutons Court Devant Tulle Imprimé Floral, Coupe A Évasé Longue Robe Gothique</t>
  </si>
  <si>
    <t>Robe Gothique Femme Halloween Vampire Jacquard Bicolore</t>
  </si>
  <si>
    <t>Halloween Vampire Jacquard Bicolore Épaules Dénudées Bretelles Taille Haute Œillets Métalliques Laçage Croisé Évasé Robe</t>
  </si>
  <si>
    <t>Robe Médiévale Femme Cour Halloween Jacquard Manches Cloche</t>
  </si>
  <si>
    <t>Halloween Jacquard Col Carré, Manches Cloche Noir Dentelle, Boutonnage Simple Coupe A Évasé Longueur Sol Cour Robe</t>
  </si>
  <si>
    <t>Robe Médiévale Femme Cour Jacquard Manches Longues Cloche</t>
  </si>
  <si>
    <t>Jacquard Manches Longues Cloche Imprimé Floral Bustier Lien Taille Haute Nœud Collier Coupe A Évasé Longue Cour Robe</t>
  </si>
  <si>
    <t>Robe a Bretelles Femme Oktoberfest Blanc Manches Courtes</t>
  </si>
  <si>
    <t>Blanc Manches Courtes Bouffantes Imprimé Floral Col Cœur Laçage Croisé, Ceinturé Cosplay Robe Oktoberfest</t>
  </si>
  <si>
    <t>Décolleté en cœur</t>
  </si>
  <si>
    <t>Robe Vintage Femme Cour Mousseline Unie Manches Cloche</t>
  </si>
  <si>
    <t>Mousseline Unie Taille Haute Col Rond Manches Cloche Volants Multicouches Coupe A Évasé Longueur Sol Cour Robe</t>
  </si>
  <si>
    <t>Robe Longue Femme Grec Cour Encolure V Plissé Manches Courtes</t>
  </si>
  <si>
    <t>Encolure V Plissé, Manches Bouffantes Cape Taille Haute Chaîne Décorative, Coupe A Évasé Longueur Sol Grec Cour Robe</t>
  </si>
  <si>
    <t>Col point</t>
  </si>
  <si>
    <t>Col V</t>
  </si>
  <si>
    <t>Manche cape</t>
  </si>
  <si>
    <t>Robe Princesse Femme Gothique Cour Halloween Satin Col Carré</t>
  </si>
  <si>
    <t>Satin Col Carré Épaulettes Volantées Broche Ceinturé Froncé Volants Multicouches Liseré Cour Halloween Gothique</t>
  </si>
  <si>
    <t>Robe Médiévale Femme Cour Renaissance Jacquard Noir</t>
  </si>
  <si>
    <t>Renaissance Jacquard Noir Col Carré, Dentelle Manches Volants Laçage Croisé Ceinturé Coupe A Évasé Longueur Cour Robe</t>
  </si>
  <si>
    <t>Manche volantée</t>
  </si>
  <si>
    <t>Robe Médiévale Femme Pirate Épaules Dénudées Manches Cloche</t>
  </si>
  <si>
    <t>Pirate Halloween Épaules Dénudées Volants Œillets Laçage Croisé Chaîne Décorative Court Devant Mi-Longue Robe</t>
  </si>
  <si>
    <t>Robe Médiévale Femme Cour Halloween Épaules Dénudées Bicolore</t>
  </si>
  <si>
    <t>Halloween Épaules Dénudées Bicolore, Cordon de Serrage Volants, Taille Haute Élastique Fente Évasé Cour Robe</t>
  </si>
  <si>
    <t>Robe Gothique Femme Médiéval Épaules Dénudées Manches Cloche</t>
  </si>
  <si>
    <t>Épaules Dénudées Cordon de Serrage Volants Taille Haute Élastique Multicouches Évasé Cosplay Médiéval Robe</t>
  </si>
  <si>
    <t>Cape Fantôme Enfant Halloween Capuche Crâne Citrouille</t>
  </si>
  <si>
    <t>Halloween Capuche Blanc Crâne Citrouille Imprimé Asymétrique Fête Scène Spectacle Cosplay Taille Unique, Cape Fantôme</t>
  </si>
  <si>
    <t>Robe de Soirée Femme Rétro Scène Spectacle Longue Évasé</t>
  </si>
  <si>
    <t>Rétro Scène Spectacle Longue Évasé Taille Haute Dentelle Satin Manches Longues Coupe A Longueur Sol Fête Robe</t>
  </si>
  <si>
    <t>Robe Médiévale Femme Cour Halloween Col Montant Liseré Doré</t>
  </si>
  <si>
    <t>Halloween Col Montant Blanc Liseré Doré, Cape Manches Longues Losange Laçage Croisé, Ruban Tissé Scène Cour Robe</t>
  </si>
  <si>
    <t>Robe Longue Femme Grec Romain Halloween Fente Motif Géométrique</t>
  </si>
  <si>
    <t>Grec Romain Halloween Fente Cape Tulle Ceinture Imprimé Motif Géométrique Coupe A Évasé Longueur Sol Robe</t>
  </si>
  <si>
    <t>Col asymétrique</t>
  </si>
  <si>
    <t>Robe Gothique Femme Cour Médiéval Manches Longues Cloche</t>
  </si>
  <si>
    <t>Médiéval Col Carré Manches Longues Cloche Laçage Croisé Ceinturé, Ruban Tissé Coupe A Évasé Longueur Sol Cour Robe</t>
  </si>
  <si>
    <t>Robe de Soirée Femme Cour Noir Jacquard Manches Courtes</t>
  </si>
  <si>
    <t>Noir Jacquard Col Montant Dentelle Ajourée Manches Courtes Bouffantes Volants Taille Coupe A Évasé Cour Robe</t>
  </si>
  <si>
    <t>Robe Gothique Femme Servante Halloween Cour Manches Longues</t>
  </si>
  <si>
    <t>Halloween Cour Manches Longues, Col Boutons Volants Papillon Tablier, Poche Appliquée Nœud Coupe A Évasé Robe de Servante</t>
  </si>
  <si>
    <t>Col cranté</t>
  </si>
  <si>
    <t>Robe a Bretelles Femme Oktoberfest Dirndl Champêtre Tablier</t>
  </si>
  <si>
    <t>Oktoberfest Champêtre Tablier À Carreaux Bretelles Volants Taille Haute Poche Appliquée Broderie Évasé Robe Dirndl</t>
  </si>
  <si>
    <t>Robe Vintage Femme Oktoberfest Dirndl Cour Manches Bouffantes</t>
  </si>
  <si>
    <t>Cour À Carreaux Manches Bouffantes Broderie, Taille Haute Tablier Liseré Dentelle Coupe A Évasé Robe Dirndl</t>
  </si>
  <si>
    <t>Robe Médiévale Femme Cour Gothique Manches Longues Cloche</t>
  </si>
  <si>
    <t>Gothique Renaissance Col Carré Manches Volants Cloche Laçage Croisé Bicolore Coupe A Évasé Traîne Cour Robe</t>
  </si>
  <si>
    <t>Robe Gothique Femme Cour Satin Noir Rouge Manches Cloche</t>
  </si>
  <si>
    <t>Satin Noir Rouge, Col Montant Nœud Manches Cloche, Corset Œillets Métalliques Laçage Croisé Multicouches Cour Robe</t>
  </si>
  <si>
    <t>Robe Médiévale Femme Halloween Épaules Dénudées Taille Haute</t>
  </si>
  <si>
    <t>Halloween Épaules Dénudées Manches Longues Cloche Taille Haute Ceinturé Court Devant Volants Scène Cosplay Robe</t>
  </si>
  <si>
    <t>Robe de Soirée Femme Médiéval Halloween Col Carré Bretelles</t>
  </si>
  <si>
    <t>Halloween Col Carré Bretelles Froncé Taille Haute Cordon de Serrage Court Devant Volants Multicouches Évasé Médiéval Complet</t>
  </si>
  <si>
    <t>Robe Gothique Femme Cour Halloween Jacquard Manches Longues</t>
  </si>
  <si>
    <t>Halloween Jacquard Col Montant Dentelle Manches Bicolore Volants Coupe A Évasé Plusieurs Couleurs Cour Robe</t>
  </si>
  <si>
    <t>Robe de Soirée Femme Médiéval Encolure V Manches Cloche</t>
  </si>
  <si>
    <t>Encolure V Manches Longues Voile Cloche Taille Haute Froncé, Coupe A Traîne Longueur Sol Scène, Médiéval Robe</t>
  </si>
  <si>
    <t>Encolure plongeante</t>
  </si>
  <si>
    <t>Robe Blanche Femme Cour Halloween Manches Longues Cloche</t>
  </si>
  <si>
    <t>Halloween Blanc Col Carré Volant Festonné Manches Longues Cloche Smock Ceinturé Volants Scène Fête Cour Robe</t>
  </si>
  <si>
    <t>Robe Médiévale Femme Cour Col Carré Manches Courtes Bouffantes</t>
  </si>
  <si>
    <t>Col Carré Manches Courtes Bouffantes Boutonnage Simple Taille Haute Ceinture Tissu Nœud Volants Coupe A Évasé Cour Robe</t>
  </si>
  <si>
    <t>Robe Médiévale Femme Cour Gothique Bicolore Manches Cloche</t>
  </si>
  <si>
    <t>Renaissance Bicolore Col Carré Manches Cloche Laçage Croisé Blanc Broderie Dentelle Coupe A Évasé Longue Cour Robe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</si>
</sst>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indexed="8"/>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indexed="1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lignment vertical="center"/>
    </xf>
    <xf numFmtId="44" fontId="1" fillId="0" borderId="0">
      <alignment vertical="center"/>
    </xf>
    <xf numFmtId="9" fontId="1" fillId="0" borderId="0">
      <alignment vertical="center"/>
    </xf>
    <xf numFmtId="41" fontId="1" fillId="0" borderId="0">
      <alignment vertical="center"/>
    </xf>
    <xf numFmtId="42" fontId="1" fillId="0" borderId="0">
      <alignment vertical="center"/>
    </xf>
    <xf numFmtId="0" fontId="2" fillId="0" borderId="0">
      <alignment vertical="center"/>
    </xf>
    <xf numFmtId="0" fontId="3" fillId="0" borderId="0">
      <alignment vertical="center"/>
    </xf>
    <xf numFmtId="0" fontId="1" fillId="4" borderId="1">
      <alignment vertical="center"/>
    </xf>
    <xf numFmtId="0" fontId="4" fillId="0" borderId="0">
      <alignment vertical="center"/>
    </xf>
    <xf numFmtId="0" fontId="5" fillId="0" borderId="0">
      <alignment vertical="center"/>
    </xf>
    <xf numFmtId="0" fontId="6" fillId="0" borderId="0">
      <alignment vertical="center"/>
    </xf>
    <xf numFmtId="0" fontId="7" fillId="0" borderId="2">
      <alignment vertical="center"/>
    </xf>
    <xf numFmtId="0" fontId="8" fillId="0" borderId="2">
      <alignment vertical="center"/>
    </xf>
    <xf numFmtId="0" fontId="9" fillId="0" borderId="3">
      <alignment vertical="center"/>
    </xf>
    <xf numFmtId="0" fontId="9" fillId="0" borderId="0">
      <alignment vertical="center"/>
    </xf>
    <xf numFmtId="0" fontId="10" fillId="5" borderId="4">
      <alignment vertical="center"/>
    </xf>
    <xf numFmtId="0" fontId="11" fillId="6" borderId="5">
      <alignment vertical="center"/>
    </xf>
    <xf numFmtId="0" fontId="12" fillId="6" borderId="4">
      <alignment vertical="center"/>
    </xf>
    <xf numFmtId="0" fontId="13" fillId="7" borderId="6">
      <alignment vertical="center"/>
    </xf>
    <xf numFmtId="0" fontId="14" fillId="0" borderId="7">
      <alignment vertical="center"/>
    </xf>
    <xf numFmtId="0" fontId="15" fillId="0" borderId="8">
      <alignment vertical="center"/>
    </xf>
    <xf numFmtId="0" fontId="16" fillId="8" borderId="0">
      <alignment vertical="center"/>
    </xf>
    <xf numFmtId="0" fontId="17" fillId="9" borderId="0">
      <alignment vertical="center"/>
    </xf>
    <xf numFmtId="0" fontId="18" fillId="10" borderId="0">
      <alignment vertical="center"/>
    </xf>
    <xf numFmtId="0" fontId="19" fillId="11" borderId="0">
      <alignment vertical="center"/>
    </xf>
    <xf numFmtId="0" fontId="20" fillId="12" borderId="0">
      <alignment vertical="center"/>
    </xf>
    <xf numFmtId="0" fontId="20" fillId="13" borderId="0">
      <alignment vertical="center"/>
    </xf>
    <xf numFmtId="0" fontId="19" fillId="14" borderId="0">
      <alignment vertical="center"/>
    </xf>
    <xf numFmtId="0" fontId="19" fillId="15" borderId="0">
      <alignment vertical="center"/>
    </xf>
    <xf numFmtId="0" fontId="20" fillId="16" borderId="0">
      <alignment vertical="center"/>
    </xf>
    <xf numFmtId="0" fontId="20" fillId="17" borderId="0">
      <alignment vertical="center"/>
    </xf>
    <xf numFmtId="0" fontId="19" fillId="18" borderId="0">
      <alignment vertical="center"/>
    </xf>
    <xf numFmtId="0" fontId="19" fillId="19" borderId="0">
      <alignment vertical="center"/>
    </xf>
    <xf numFmtId="0" fontId="20" fillId="20" borderId="0">
      <alignment vertical="center"/>
    </xf>
    <xf numFmtId="0" fontId="20" fillId="21" borderId="0">
      <alignment vertical="center"/>
    </xf>
    <xf numFmtId="0" fontId="19" fillId="22" borderId="0">
      <alignment vertical="center"/>
    </xf>
    <xf numFmtId="0" fontId="19" fillId="23" borderId="0">
      <alignment vertical="center"/>
    </xf>
    <xf numFmtId="0" fontId="20" fillId="24" borderId="0">
      <alignment vertical="center"/>
    </xf>
    <xf numFmtId="0" fontId="20" fillId="25" borderId="0">
      <alignment vertical="center"/>
    </xf>
    <xf numFmtId="0" fontId="19" fillId="26" borderId="0">
      <alignment vertical="center"/>
    </xf>
    <xf numFmtId="0" fontId="19" fillId="27" borderId="0">
      <alignment vertical="center"/>
    </xf>
    <xf numFmtId="0" fontId="20" fillId="28" borderId="0">
      <alignment vertical="center"/>
    </xf>
    <xf numFmtId="0" fontId="20" fillId="29" borderId="0">
      <alignment vertical="center"/>
    </xf>
    <xf numFmtId="0" fontId="19" fillId="30" borderId="0">
      <alignment vertical="center"/>
    </xf>
    <xf numFmtId="0" fontId="19" fillId="31" borderId="0">
      <alignment vertical="center"/>
    </xf>
    <xf numFmtId="0" fontId="20" fillId="32" borderId="0">
      <alignment vertical="center"/>
    </xf>
    <xf numFmtId="0" fontId="20" fillId="33" borderId="0">
      <alignment vertical="center"/>
    </xf>
    <xf numFmtId="0" fontId="19" fillId="34" borderId="0">
      <alignment vertical="center"/>
    </xf>
  </cellStyleXfs>
  <cellXfs count="6">
    <xf numFmtId="0" fontId="0" fillId="0" borderId="0" xfId="0"/>
    <xf numFmtId="0" fontId="0" fillId="0" borderId="0" xfId="0" applyFont="1" applyFill="1" applyAlignment="1"/>
    <xf numFmtId="0" fontId="0" fillId="0" borderId="0" xfId="0" applyAlignment="1">
      <alignment vertical="center"/>
    </xf>
    <xf numFmtId="0" fontId="0" fillId="2" borderId="0" xfId="0" applyFill="1" applyAlignment="1">
      <alignment horizontal="left" vertical="center"/>
    </xf>
    <xf numFmtId="0" fontId="0" fillId="0" borderId="0" xfId="0" applyAlignment="1">
      <alignment horizontal="left" vertical="center"/>
    </xf>
    <xf numFmtId="0" fontId="0" fillId="3" borderId="0" xfId="0"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rgb="FFFFFF00"/>
          <bgColor rgb="FF0000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9.png"/><Relationship Id="rId8" Type="http://schemas.openxmlformats.org/officeDocument/2006/relationships/image" Target="../media/image8.png"/><Relationship Id="rId7" Type="http://schemas.openxmlformats.org/officeDocument/2006/relationships/image" Target="../media/image7.png"/><Relationship Id="rId6" Type="http://schemas.openxmlformats.org/officeDocument/2006/relationships/image" Target="../media/image6.png"/><Relationship Id="rId5" Type="http://schemas.openxmlformats.org/officeDocument/2006/relationships/image" Target="../media/image5.png"/><Relationship Id="rId44" Type="http://schemas.openxmlformats.org/officeDocument/2006/relationships/image" Target="../media/image44.png"/><Relationship Id="rId43" Type="http://schemas.openxmlformats.org/officeDocument/2006/relationships/image" Target="../media/image43.png"/><Relationship Id="rId42" Type="http://schemas.openxmlformats.org/officeDocument/2006/relationships/image" Target="../media/image42.png"/><Relationship Id="rId41" Type="http://schemas.openxmlformats.org/officeDocument/2006/relationships/image" Target="../media/image41.png"/><Relationship Id="rId40" Type="http://schemas.openxmlformats.org/officeDocument/2006/relationships/image" Target="../media/image40.png"/><Relationship Id="rId4" Type="http://schemas.openxmlformats.org/officeDocument/2006/relationships/image" Target="../media/image4.png"/><Relationship Id="rId39" Type="http://schemas.openxmlformats.org/officeDocument/2006/relationships/image" Target="../media/image39.png"/><Relationship Id="rId38" Type="http://schemas.openxmlformats.org/officeDocument/2006/relationships/image" Target="../media/image38.png"/><Relationship Id="rId37" Type="http://schemas.openxmlformats.org/officeDocument/2006/relationships/image" Target="../media/image37.png"/><Relationship Id="rId36" Type="http://schemas.openxmlformats.org/officeDocument/2006/relationships/image" Target="../media/image36.png"/><Relationship Id="rId35" Type="http://schemas.openxmlformats.org/officeDocument/2006/relationships/image" Target="../media/image35.png"/><Relationship Id="rId34" Type="http://schemas.openxmlformats.org/officeDocument/2006/relationships/image" Target="../media/image34.png"/><Relationship Id="rId33" Type="http://schemas.openxmlformats.org/officeDocument/2006/relationships/image" Target="../media/image33.png"/><Relationship Id="rId32" Type="http://schemas.openxmlformats.org/officeDocument/2006/relationships/image" Target="../media/image32.png"/><Relationship Id="rId31" Type="http://schemas.openxmlformats.org/officeDocument/2006/relationships/image" Target="../media/image31.png"/><Relationship Id="rId30" Type="http://schemas.openxmlformats.org/officeDocument/2006/relationships/image" Target="../media/image30.png"/><Relationship Id="rId3" Type="http://schemas.openxmlformats.org/officeDocument/2006/relationships/image" Target="../media/image3.png"/><Relationship Id="rId29" Type="http://schemas.openxmlformats.org/officeDocument/2006/relationships/image" Target="../media/image29.png"/><Relationship Id="rId28" Type="http://schemas.openxmlformats.org/officeDocument/2006/relationships/image" Target="../media/image28.png"/><Relationship Id="rId27" Type="http://schemas.openxmlformats.org/officeDocument/2006/relationships/image" Target="../media/image27.png"/><Relationship Id="rId26" Type="http://schemas.openxmlformats.org/officeDocument/2006/relationships/image" Target="../media/image26.png"/><Relationship Id="rId25" Type="http://schemas.openxmlformats.org/officeDocument/2006/relationships/image" Target="../media/image25.png"/><Relationship Id="rId24" Type="http://schemas.openxmlformats.org/officeDocument/2006/relationships/image" Target="../media/image24.png"/><Relationship Id="rId23" Type="http://schemas.openxmlformats.org/officeDocument/2006/relationships/image" Target="../media/image23.png"/><Relationship Id="rId22" Type="http://schemas.openxmlformats.org/officeDocument/2006/relationships/image" Target="../media/image22.png"/><Relationship Id="rId21" Type="http://schemas.openxmlformats.org/officeDocument/2006/relationships/image" Target="../media/image21.png"/><Relationship Id="rId20" Type="http://schemas.openxmlformats.org/officeDocument/2006/relationships/image" Target="../media/image20.png"/><Relationship Id="rId2" Type="http://schemas.openxmlformats.org/officeDocument/2006/relationships/image" Target="../media/image2.png"/><Relationship Id="rId19" Type="http://schemas.openxmlformats.org/officeDocument/2006/relationships/image" Target="../media/image19.png"/><Relationship Id="rId18" Type="http://schemas.openxmlformats.org/officeDocument/2006/relationships/image" Target="../media/image18.png"/><Relationship Id="rId17" Type="http://schemas.openxmlformats.org/officeDocument/2006/relationships/image" Target="../media/image17.png"/><Relationship Id="rId16" Type="http://schemas.openxmlformats.org/officeDocument/2006/relationships/image" Target="../media/image16.png"/><Relationship Id="rId15" Type="http://schemas.openxmlformats.org/officeDocument/2006/relationships/image" Target="../media/image15.png"/><Relationship Id="rId14" Type="http://schemas.openxmlformats.org/officeDocument/2006/relationships/image" Target="../media/image14.png"/><Relationship Id="rId13" Type="http://schemas.openxmlformats.org/officeDocument/2006/relationships/image" Target="../media/image13.png"/><Relationship Id="rId12" Type="http://schemas.openxmlformats.org/officeDocument/2006/relationships/image" Target="../media/image12.png"/><Relationship Id="rId11" Type="http://schemas.openxmlformats.org/officeDocument/2006/relationships/image" Target="../media/image11.png"/><Relationship Id="rId10" Type="http://schemas.openxmlformats.org/officeDocument/2006/relationships/image" Target="../media/image10.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0</xdr:row>
      <xdr:rowOff>0</xdr:rowOff>
    </xdr:from>
    <xdr:to>
      <xdr:col>7</xdr:col>
      <xdr:colOff>645777</xdr:colOff>
      <xdr:row>0</xdr:row>
      <xdr:rowOff>571725</xdr:rowOff>
    </xdr:to>
    <xdr:pic>
      <xdr:nvPicPr>
        <xdr:cNvPr id="2" name="Image 1" descr="Picture"/>
        <xdr:cNvPicPr/>
      </xdr:nvPicPr>
      <xdr:blipFill>
        <a:blip r:embed="rId1" cstate="print"/>
        <a:stretch>
          <a:fillRect/>
        </a:stretch>
      </xdr:blipFill>
      <xdr:spPr>
        <a:xfrm>
          <a:off x="11277600" y="0"/>
          <a:ext cx="645160" cy="571500"/>
        </a:xfrm>
        <a:prstGeom prst="rect">
          <a:avLst/>
        </a:prstGeom>
        <a:ln>
          <a:prstDash val="solid"/>
        </a:ln>
      </xdr:spPr>
    </xdr:pic>
    <xdr:clientData/>
  </xdr:twoCellAnchor>
  <xdr:twoCellAnchor>
    <xdr:from>
      <xdr:col>25</xdr:col>
      <xdr:colOff>0</xdr:colOff>
      <xdr:row>0</xdr:row>
      <xdr:rowOff>0</xdr:rowOff>
    </xdr:from>
    <xdr:to>
      <xdr:col>25</xdr:col>
      <xdr:colOff>645777</xdr:colOff>
      <xdr:row>0</xdr:row>
      <xdr:rowOff>571725</xdr:rowOff>
    </xdr:to>
    <xdr:pic>
      <xdr:nvPicPr>
        <xdr:cNvPr id="3" name="Image 2" descr="Picture"/>
        <xdr:cNvPicPr/>
      </xdr:nvPicPr>
      <xdr:blipFill>
        <a:blip r:embed="rId2" cstate="print"/>
        <a:stretch>
          <a:fillRect/>
        </a:stretch>
      </xdr:blipFill>
      <xdr:spPr>
        <a:xfrm>
          <a:off x="24030940" y="0"/>
          <a:ext cx="645160" cy="571500"/>
        </a:xfrm>
        <a:prstGeom prst="rect">
          <a:avLst/>
        </a:prstGeom>
        <a:ln>
          <a:prstDash val="solid"/>
        </a:ln>
      </xdr:spPr>
    </xdr:pic>
    <xdr:clientData/>
  </xdr:twoCellAnchor>
  <xdr:twoCellAnchor>
    <xdr:from>
      <xdr:col>27</xdr:col>
      <xdr:colOff>0</xdr:colOff>
      <xdr:row>0</xdr:row>
      <xdr:rowOff>0</xdr:rowOff>
    </xdr:from>
    <xdr:to>
      <xdr:col>27</xdr:col>
      <xdr:colOff>645777</xdr:colOff>
      <xdr:row>0</xdr:row>
      <xdr:rowOff>571725</xdr:rowOff>
    </xdr:to>
    <xdr:pic>
      <xdr:nvPicPr>
        <xdr:cNvPr id="4" name="Image 3" descr="Picture"/>
        <xdr:cNvPicPr/>
      </xdr:nvPicPr>
      <xdr:blipFill>
        <a:blip r:embed="rId3" cstate="print"/>
        <a:stretch>
          <a:fillRect/>
        </a:stretch>
      </xdr:blipFill>
      <xdr:spPr>
        <a:xfrm>
          <a:off x="25460960" y="0"/>
          <a:ext cx="645160" cy="571500"/>
        </a:xfrm>
        <a:prstGeom prst="rect">
          <a:avLst/>
        </a:prstGeom>
        <a:ln>
          <a:prstDash val="solid"/>
        </a:ln>
      </xdr:spPr>
    </xdr:pic>
    <xdr:clientData/>
  </xdr:twoCellAnchor>
  <xdr:twoCellAnchor>
    <xdr:from>
      <xdr:col>29</xdr:col>
      <xdr:colOff>0</xdr:colOff>
      <xdr:row>0</xdr:row>
      <xdr:rowOff>0</xdr:rowOff>
    </xdr:from>
    <xdr:to>
      <xdr:col>29</xdr:col>
      <xdr:colOff>645777</xdr:colOff>
      <xdr:row>0</xdr:row>
      <xdr:rowOff>571725</xdr:rowOff>
    </xdr:to>
    <xdr:pic>
      <xdr:nvPicPr>
        <xdr:cNvPr id="5" name="Image 4" descr="Picture"/>
        <xdr:cNvPicPr/>
      </xdr:nvPicPr>
      <xdr:blipFill>
        <a:blip r:embed="rId4" cstate="print"/>
        <a:stretch>
          <a:fillRect/>
        </a:stretch>
      </xdr:blipFill>
      <xdr:spPr>
        <a:xfrm>
          <a:off x="26832560" y="0"/>
          <a:ext cx="645160" cy="571500"/>
        </a:xfrm>
        <a:prstGeom prst="rect">
          <a:avLst/>
        </a:prstGeom>
        <a:ln>
          <a:prstDash val="solid"/>
        </a:ln>
      </xdr:spPr>
    </xdr:pic>
    <xdr:clientData/>
  </xdr:twoCellAnchor>
  <xdr:twoCellAnchor>
    <xdr:from>
      <xdr:col>31</xdr:col>
      <xdr:colOff>0</xdr:colOff>
      <xdr:row>0</xdr:row>
      <xdr:rowOff>0</xdr:rowOff>
    </xdr:from>
    <xdr:to>
      <xdr:col>31</xdr:col>
      <xdr:colOff>645777</xdr:colOff>
      <xdr:row>0</xdr:row>
      <xdr:rowOff>571725</xdr:rowOff>
    </xdr:to>
    <xdr:pic>
      <xdr:nvPicPr>
        <xdr:cNvPr id="6" name="Image 5" descr="Picture"/>
        <xdr:cNvPicPr/>
      </xdr:nvPicPr>
      <xdr:blipFill>
        <a:blip r:embed="rId5" cstate="print"/>
        <a:stretch>
          <a:fillRect/>
        </a:stretch>
      </xdr:blipFill>
      <xdr:spPr>
        <a:xfrm>
          <a:off x="28204160" y="0"/>
          <a:ext cx="645160" cy="571500"/>
        </a:xfrm>
        <a:prstGeom prst="rect">
          <a:avLst/>
        </a:prstGeom>
        <a:ln>
          <a:prstDash val="solid"/>
        </a:ln>
      </xdr:spPr>
    </xdr:pic>
    <xdr:clientData/>
  </xdr:twoCellAnchor>
  <xdr:twoCellAnchor>
    <xdr:from>
      <xdr:col>33</xdr:col>
      <xdr:colOff>0</xdr:colOff>
      <xdr:row>0</xdr:row>
      <xdr:rowOff>0</xdr:rowOff>
    </xdr:from>
    <xdr:to>
      <xdr:col>33</xdr:col>
      <xdr:colOff>645777</xdr:colOff>
      <xdr:row>0</xdr:row>
      <xdr:rowOff>571725</xdr:rowOff>
    </xdr:to>
    <xdr:pic>
      <xdr:nvPicPr>
        <xdr:cNvPr id="7" name="Image 6" descr="Picture"/>
        <xdr:cNvPicPr/>
      </xdr:nvPicPr>
      <xdr:blipFill>
        <a:blip r:embed="rId6" cstate="print"/>
        <a:stretch>
          <a:fillRect/>
        </a:stretch>
      </xdr:blipFill>
      <xdr:spPr>
        <a:xfrm>
          <a:off x="29575760" y="0"/>
          <a:ext cx="645160" cy="571500"/>
        </a:xfrm>
        <a:prstGeom prst="rect">
          <a:avLst/>
        </a:prstGeom>
        <a:ln>
          <a:prstDash val="solid"/>
        </a:ln>
      </xdr:spPr>
    </xdr:pic>
    <xdr:clientData/>
  </xdr:twoCellAnchor>
  <xdr:twoCellAnchor>
    <xdr:from>
      <xdr:col>35</xdr:col>
      <xdr:colOff>0</xdr:colOff>
      <xdr:row>0</xdr:row>
      <xdr:rowOff>0</xdr:rowOff>
    </xdr:from>
    <xdr:to>
      <xdr:col>35</xdr:col>
      <xdr:colOff>645777</xdr:colOff>
      <xdr:row>0</xdr:row>
      <xdr:rowOff>571725</xdr:rowOff>
    </xdr:to>
    <xdr:pic>
      <xdr:nvPicPr>
        <xdr:cNvPr id="8" name="Image 7" descr="Picture"/>
        <xdr:cNvPicPr/>
      </xdr:nvPicPr>
      <xdr:blipFill>
        <a:blip r:embed="rId7" cstate="print"/>
        <a:stretch>
          <a:fillRect/>
        </a:stretch>
      </xdr:blipFill>
      <xdr:spPr>
        <a:xfrm>
          <a:off x="30947360" y="0"/>
          <a:ext cx="645160" cy="571500"/>
        </a:xfrm>
        <a:prstGeom prst="rect">
          <a:avLst/>
        </a:prstGeom>
        <a:ln>
          <a:prstDash val="solid"/>
        </a:ln>
      </xdr:spPr>
    </xdr:pic>
    <xdr:clientData/>
  </xdr:twoCellAnchor>
  <xdr:twoCellAnchor>
    <xdr:from>
      <xdr:col>37</xdr:col>
      <xdr:colOff>0</xdr:colOff>
      <xdr:row>0</xdr:row>
      <xdr:rowOff>0</xdr:rowOff>
    </xdr:from>
    <xdr:to>
      <xdr:col>37</xdr:col>
      <xdr:colOff>645777</xdr:colOff>
      <xdr:row>0</xdr:row>
      <xdr:rowOff>571725</xdr:rowOff>
    </xdr:to>
    <xdr:pic>
      <xdr:nvPicPr>
        <xdr:cNvPr id="9" name="Image 8" descr="Picture"/>
        <xdr:cNvPicPr/>
      </xdr:nvPicPr>
      <xdr:blipFill>
        <a:blip r:embed="rId1" cstate="print"/>
        <a:stretch>
          <a:fillRect/>
        </a:stretch>
      </xdr:blipFill>
      <xdr:spPr>
        <a:xfrm>
          <a:off x="32318960" y="0"/>
          <a:ext cx="645160" cy="571500"/>
        </a:xfrm>
        <a:prstGeom prst="rect">
          <a:avLst/>
        </a:prstGeom>
        <a:ln>
          <a:prstDash val="solid"/>
        </a:ln>
      </xdr:spPr>
    </xdr:pic>
    <xdr:clientData/>
  </xdr:twoCellAnchor>
  <xdr:twoCellAnchor>
    <xdr:from>
      <xdr:col>39</xdr:col>
      <xdr:colOff>0</xdr:colOff>
      <xdr:row>0</xdr:row>
      <xdr:rowOff>0</xdr:rowOff>
    </xdr:from>
    <xdr:to>
      <xdr:col>39</xdr:col>
      <xdr:colOff>645777</xdr:colOff>
      <xdr:row>0</xdr:row>
      <xdr:rowOff>571725</xdr:rowOff>
    </xdr:to>
    <xdr:pic>
      <xdr:nvPicPr>
        <xdr:cNvPr id="10" name="Image 9" descr="Picture"/>
        <xdr:cNvPicPr/>
      </xdr:nvPicPr>
      <xdr:blipFill>
        <a:blip r:embed="rId8" cstate="print"/>
        <a:stretch>
          <a:fillRect/>
        </a:stretch>
      </xdr:blipFill>
      <xdr:spPr>
        <a:xfrm>
          <a:off x="33690560" y="0"/>
          <a:ext cx="645160" cy="571500"/>
        </a:xfrm>
        <a:prstGeom prst="rect">
          <a:avLst/>
        </a:prstGeom>
        <a:ln>
          <a:prstDash val="solid"/>
        </a:ln>
      </xdr:spPr>
    </xdr:pic>
    <xdr:clientData/>
  </xdr:twoCellAnchor>
  <xdr:twoCellAnchor>
    <xdr:from>
      <xdr:col>41</xdr:col>
      <xdr:colOff>0</xdr:colOff>
      <xdr:row>0</xdr:row>
      <xdr:rowOff>0</xdr:rowOff>
    </xdr:from>
    <xdr:to>
      <xdr:col>41</xdr:col>
      <xdr:colOff>645777</xdr:colOff>
      <xdr:row>0</xdr:row>
      <xdr:rowOff>571725</xdr:rowOff>
    </xdr:to>
    <xdr:pic>
      <xdr:nvPicPr>
        <xdr:cNvPr id="11" name="Image 10" descr="Picture"/>
        <xdr:cNvPicPr/>
      </xdr:nvPicPr>
      <xdr:blipFill>
        <a:blip r:embed="rId9" cstate="print"/>
        <a:stretch>
          <a:fillRect/>
        </a:stretch>
      </xdr:blipFill>
      <xdr:spPr>
        <a:xfrm>
          <a:off x="35062160" y="0"/>
          <a:ext cx="645160" cy="571500"/>
        </a:xfrm>
        <a:prstGeom prst="rect">
          <a:avLst/>
        </a:prstGeom>
        <a:ln>
          <a:prstDash val="solid"/>
        </a:ln>
      </xdr:spPr>
    </xdr:pic>
    <xdr:clientData/>
  </xdr:twoCellAnchor>
  <xdr:twoCellAnchor>
    <xdr:from>
      <xdr:col>7</xdr:col>
      <xdr:colOff>0</xdr:colOff>
      <xdr:row>1</xdr:row>
      <xdr:rowOff>0</xdr:rowOff>
    </xdr:from>
    <xdr:to>
      <xdr:col>7</xdr:col>
      <xdr:colOff>645777</xdr:colOff>
      <xdr:row>1</xdr:row>
      <xdr:rowOff>571725</xdr:rowOff>
    </xdr:to>
    <xdr:pic>
      <xdr:nvPicPr>
        <xdr:cNvPr id="12" name="Image 11" descr="Picture"/>
        <xdr:cNvPicPr/>
      </xdr:nvPicPr>
      <xdr:blipFill>
        <a:blip r:embed="rId8" cstate="print"/>
        <a:stretch>
          <a:fillRect/>
        </a:stretch>
      </xdr:blipFill>
      <xdr:spPr>
        <a:xfrm>
          <a:off x="11277600" y="635000"/>
          <a:ext cx="645160" cy="0"/>
        </a:xfrm>
        <a:prstGeom prst="rect">
          <a:avLst/>
        </a:prstGeom>
        <a:ln>
          <a:prstDash val="solid"/>
        </a:ln>
      </xdr:spPr>
    </xdr:pic>
    <xdr:clientData/>
  </xdr:twoCellAnchor>
  <xdr:twoCellAnchor>
    <xdr:from>
      <xdr:col>25</xdr:col>
      <xdr:colOff>0</xdr:colOff>
      <xdr:row>1</xdr:row>
      <xdr:rowOff>0</xdr:rowOff>
    </xdr:from>
    <xdr:to>
      <xdr:col>25</xdr:col>
      <xdr:colOff>645777</xdr:colOff>
      <xdr:row>1</xdr:row>
      <xdr:rowOff>571725</xdr:rowOff>
    </xdr:to>
    <xdr:pic>
      <xdr:nvPicPr>
        <xdr:cNvPr id="13" name="Image 12" descr="Picture"/>
        <xdr:cNvPicPr/>
      </xdr:nvPicPr>
      <xdr:blipFill>
        <a:blip r:embed="rId10" cstate="print"/>
        <a:stretch>
          <a:fillRect/>
        </a:stretch>
      </xdr:blipFill>
      <xdr:spPr>
        <a:xfrm>
          <a:off x="24030940" y="635000"/>
          <a:ext cx="645160" cy="0"/>
        </a:xfrm>
        <a:prstGeom prst="rect">
          <a:avLst/>
        </a:prstGeom>
        <a:ln>
          <a:prstDash val="solid"/>
        </a:ln>
      </xdr:spPr>
    </xdr:pic>
    <xdr:clientData/>
  </xdr:twoCellAnchor>
  <xdr:twoCellAnchor>
    <xdr:from>
      <xdr:col>27</xdr:col>
      <xdr:colOff>0</xdr:colOff>
      <xdr:row>1</xdr:row>
      <xdr:rowOff>0</xdr:rowOff>
    </xdr:from>
    <xdr:to>
      <xdr:col>27</xdr:col>
      <xdr:colOff>645777</xdr:colOff>
      <xdr:row>1</xdr:row>
      <xdr:rowOff>571725</xdr:rowOff>
    </xdr:to>
    <xdr:pic>
      <xdr:nvPicPr>
        <xdr:cNvPr id="14" name="Image 13" descr="Picture"/>
        <xdr:cNvPicPr/>
      </xdr:nvPicPr>
      <xdr:blipFill>
        <a:blip r:embed="rId8" cstate="print"/>
        <a:stretch>
          <a:fillRect/>
        </a:stretch>
      </xdr:blipFill>
      <xdr:spPr>
        <a:xfrm>
          <a:off x="25460960" y="635000"/>
          <a:ext cx="645160" cy="0"/>
        </a:xfrm>
        <a:prstGeom prst="rect">
          <a:avLst/>
        </a:prstGeom>
        <a:ln>
          <a:prstDash val="solid"/>
        </a:ln>
      </xdr:spPr>
    </xdr:pic>
    <xdr:clientData/>
  </xdr:twoCellAnchor>
  <xdr:twoCellAnchor>
    <xdr:from>
      <xdr:col>29</xdr:col>
      <xdr:colOff>0</xdr:colOff>
      <xdr:row>1</xdr:row>
      <xdr:rowOff>0</xdr:rowOff>
    </xdr:from>
    <xdr:to>
      <xdr:col>29</xdr:col>
      <xdr:colOff>645777</xdr:colOff>
      <xdr:row>1</xdr:row>
      <xdr:rowOff>571725</xdr:rowOff>
    </xdr:to>
    <xdr:pic>
      <xdr:nvPicPr>
        <xdr:cNvPr id="15" name="Image 14" descr="Picture"/>
        <xdr:cNvPicPr/>
      </xdr:nvPicPr>
      <xdr:blipFill>
        <a:blip r:embed="rId11" cstate="print"/>
        <a:stretch>
          <a:fillRect/>
        </a:stretch>
      </xdr:blipFill>
      <xdr:spPr>
        <a:xfrm>
          <a:off x="26832560" y="635000"/>
          <a:ext cx="645160" cy="0"/>
        </a:xfrm>
        <a:prstGeom prst="rect">
          <a:avLst/>
        </a:prstGeom>
        <a:ln>
          <a:prstDash val="solid"/>
        </a:ln>
      </xdr:spPr>
    </xdr:pic>
    <xdr:clientData/>
  </xdr:twoCellAnchor>
  <xdr:twoCellAnchor>
    <xdr:from>
      <xdr:col>31</xdr:col>
      <xdr:colOff>0</xdr:colOff>
      <xdr:row>1</xdr:row>
      <xdr:rowOff>0</xdr:rowOff>
    </xdr:from>
    <xdr:to>
      <xdr:col>31</xdr:col>
      <xdr:colOff>645777</xdr:colOff>
      <xdr:row>1</xdr:row>
      <xdr:rowOff>571725</xdr:rowOff>
    </xdr:to>
    <xdr:pic>
      <xdr:nvPicPr>
        <xdr:cNvPr id="16" name="Image 15" descr="Picture"/>
        <xdr:cNvPicPr/>
      </xdr:nvPicPr>
      <xdr:blipFill>
        <a:blip r:embed="rId12" cstate="print"/>
        <a:stretch>
          <a:fillRect/>
        </a:stretch>
      </xdr:blipFill>
      <xdr:spPr>
        <a:xfrm>
          <a:off x="28204160" y="635000"/>
          <a:ext cx="645160" cy="0"/>
        </a:xfrm>
        <a:prstGeom prst="rect">
          <a:avLst/>
        </a:prstGeom>
        <a:ln>
          <a:prstDash val="solid"/>
        </a:ln>
      </xdr:spPr>
    </xdr:pic>
    <xdr:clientData/>
  </xdr:twoCellAnchor>
  <xdr:twoCellAnchor>
    <xdr:from>
      <xdr:col>7</xdr:col>
      <xdr:colOff>0</xdr:colOff>
      <xdr:row>6</xdr:row>
      <xdr:rowOff>0</xdr:rowOff>
    </xdr:from>
    <xdr:to>
      <xdr:col>7</xdr:col>
      <xdr:colOff>645777</xdr:colOff>
      <xdr:row>6</xdr:row>
      <xdr:rowOff>571725</xdr:rowOff>
    </xdr:to>
    <xdr:pic>
      <xdr:nvPicPr>
        <xdr:cNvPr id="21" name="Image 20" descr="Picture"/>
        <xdr:cNvPicPr/>
      </xdr:nvPicPr>
      <xdr:blipFill>
        <a:blip r:embed="rId3" cstate="print"/>
        <a:stretch>
          <a:fillRect/>
        </a:stretch>
      </xdr:blipFill>
      <xdr:spPr>
        <a:xfrm>
          <a:off x="11277600" y="635000"/>
          <a:ext cx="645160" cy="0"/>
        </a:xfrm>
        <a:prstGeom prst="rect">
          <a:avLst/>
        </a:prstGeom>
        <a:ln>
          <a:prstDash val="solid"/>
        </a:ln>
      </xdr:spPr>
    </xdr:pic>
    <xdr:clientData/>
  </xdr:twoCellAnchor>
  <xdr:twoCellAnchor>
    <xdr:from>
      <xdr:col>25</xdr:col>
      <xdr:colOff>0</xdr:colOff>
      <xdr:row>6</xdr:row>
      <xdr:rowOff>0</xdr:rowOff>
    </xdr:from>
    <xdr:to>
      <xdr:col>25</xdr:col>
      <xdr:colOff>645777</xdr:colOff>
      <xdr:row>6</xdr:row>
      <xdr:rowOff>571725</xdr:rowOff>
    </xdr:to>
    <xdr:pic>
      <xdr:nvPicPr>
        <xdr:cNvPr id="22" name="Image 21" descr="Picture"/>
        <xdr:cNvPicPr/>
      </xdr:nvPicPr>
      <xdr:blipFill>
        <a:blip r:embed="rId13" cstate="print"/>
        <a:stretch>
          <a:fillRect/>
        </a:stretch>
      </xdr:blipFill>
      <xdr:spPr>
        <a:xfrm>
          <a:off x="24030940" y="635000"/>
          <a:ext cx="645160" cy="0"/>
        </a:xfrm>
        <a:prstGeom prst="rect">
          <a:avLst/>
        </a:prstGeom>
        <a:ln>
          <a:prstDash val="solid"/>
        </a:ln>
      </xdr:spPr>
    </xdr:pic>
    <xdr:clientData/>
  </xdr:twoCellAnchor>
  <xdr:twoCellAnchor>
    <xdr:from>
      <xdr:col>27</xdr:col>
      <xdr:colOff>0</xdr:colOff>
      <xdr:row>6</xdr:row>
      <xdr:rowOff>0</xdr:rowOff>
    </xdr:from>
    <xdr:to>
      <xdr:col>27</xdr:col>
      <xdr:colOff>645777</xdr:colOff>
      <xdr:row>6</xdr:row>
      <xdr:rowOff>571725</xdr:rowOff>
    </xdr:to>
    <xdr:pic>
      <xdr:nvPicPr>
        <xdr:cNvPr id="23" name="Image 22" descr="Picture"/>
        <xdr:cNvPicPr/>
      </xdr:nvPicPr>
      <xdr:blipFill>
        <a:blip r:embed="rId3" cstate="print"/>
        <a:stretch>
          <a:fillRect/>
        </a:stretch>
      </xdr:blipFill>
      <xdr:spPr>
        <a:xfrm>
          <a:off x="25460960" y="635000"/>
          <a:ext cx="645160" cy="0"/>
        </a:xfrm>
        <a:prstGeom prst="rect">
          <a:avLst/>
        </a:prstGeom>
        <a:ln>
          <a:prstDash val="solid"/>
        </a:ln>
      </xdr:spPr>
    </xdr:pic>
    <xdr:clientData/>
  </xdr:twoCellAnchor>
  <xdr:twoCellAnchor>
    <xdr:from>
      <xdr:col>31</xdr:col>
      <xdr:colOff>0</xdr:colOff>
      <xdr:row>6</xdr:row>
      <xdr:rowOff>0</xdr:rowOff>
    </xdr:from>
    <xdr:to>
      <xdr:col>31</xdr:col>
      <xdr:colOff>645777</xdr:colOff>
      <xdr:row>6</xdr:row>
      <xdr:rowOff>571725</xdr:rowOff>
    </xdr:to>
    <xdr:pic>
      <xdr:nvPicPr>
        <xdr:cNvPr id="25" name="Image 24" descr="Picture"/>
        <xdr:cNvPicPr/>
      </xdr:nvPicPr>
      <xdr:blipFill>
        <a:blip r:embed="rId14" cstate="print"/>
        <a:stretch>
          <a:fillRect/>
        </a:stretch>
      </xdr:blipFill>
      <xdr:spPr>
        <a:xfrm>
          <a:off x="28204160" y="635000"/>
          <a:ext cx="645160" cy="0"/>
        </a:xfrm>
        <a:prstGeom prst="rect">
          <a:avLst/>
        </a:prstGeom>
        <a:ln>
          <a:prstDash val="solid"/>
        </a:ln>
      </xdr:spPr>
    </xdr:pic>
    <xdr:clientData/>
  </xdr:twoCellAnchor>
  <xdr:twoCellAnchor>
    <xdr:from>
      <xdr:col>7</xdr:col>
      <xdr:colOff>0</xdr:colOff>
      <xdr:row>11</xdr:row>
      <xdr:rowOff>0</xdr:rowOff>
    </xdr:from>
    <xdr:to>
      <xdr:col>7</xdr:col>
      <xdr:colOff>645777</xdr:colOff>
      <xdr:row>11</xdr:row>
      <xdr:rowOff>571725</xdr:rowOff>
    </xdr:to>
    <xdr:pic>
      <xdr:nvPicPr>
        <xdr:cNvPr id="30" name="Image 29" descr="Picture"/>
        <xdr:cNvPicPr/>
      </xdr:nvPicPr>
      <xdr:blipFill>
        <a:blip r:embed="rId5" cstate="print"/>
        <a:stretch>
          <a:fillRect/>
        </a:stretch>
      </xdr:blipFill>
      <xdr:spPr>
        <a:xfrm>
          <a:off x="11277600" y="635000"/>
          <a:ext cx="645160" cy="0"/>
        </a:xfrm>
        <a:prstGeom prst="rect">
          <a:avLst/>
        </a:prstGeom>
        <a:ln>
          <a:prstDash val="solid"/>
        </a:ln>
      </xdr:spPr>
    </xdr:pic>
    <xdr:clientData/>
  </xdr:twoCellAnchor>
  <xdr:twoCellAnchor>
    <xdr:from>
      <xdr:col>25</xdr:col>
      <xdr:colOff>0</xdr:colOff>
      <xdr:row>11</xdr:row>
      <xdr:rowOff>0</xdr:rowOff>
    </xdr:from>
    <xdr:to>
      <xdr:col>25</xdr:col>
      <xdr:colOff>645777</xdr:colOff>
      <xdr:row>11</xdr:row>
      <xdr:rowOff>571725</xdr:rowOff>
    </xdr:to>
    <xdr:pic>
      <xdr:nvPicPr>
        <xdr:cNvPr id="31" name="Image 30" descr="Picture"/>
        <xdr:cNvPicPr/>
      </xdr:nvPicPr>
      <xdr:blipFill>
        <a:blip r:embed="rId15" cstate="print"/>
        <a:stretch>
          <a:fillRect/>
        </a:stretch>
      </xdr:blipFill>
      <xdr:spPr>
        <a:xfrm>
          <a:off x="24030940" y="635000"/>
          <a:ext cx="645160" cy="0"/>
        </a:xfrm>
        <a:prstGeom prst="rect">
          <a:avLst/>
        </a:prstGeom>
        <a:ln>
          <a:prstDash val="solid"/>
        </a:ln>
      </xdr:spPr>
    </xdr:pic>
    <xdr:clientData/>
  </xdr:twoCellAnchor>
  <xdr:twoCellAnchor>
    <xdr:from>
      <xdr:col>27</xdr:col>
      <xdr:colOff>0</xdr:colOff>
      <xdr:row>11</xdr:row>
      <xdr:rowOff>0</xdr:rowOff>
    </xdr:from>
    <xdr:to>
      <xdr:col>27</xdr:col>
      <xdr:colOff>645777</xdr:colOff>
      <xdr:row>11</xdr:row>
      <xdr:rowOff>571725</xdr:rowOff>
    </xdr:to>
    <xdr:pic>
      <xdr:nvPicPr>
        <xdr:cNvPr id="32" name="Image 31" descr="Picture"/>
        <xdr:cNvPicPr/>
      </xdr:nvPicPr>
      <xdr:blipFill>
        <a:blip r:embed="rId5" cstate="print"/>
        <a:stretch>
          <a:fillRect/>
        </a:stretch>
      </xdr:blipFill>
      <xdr:spPr>
        <a:xfrm>
          <a:off x="25460960" y="635000"/>
          <a:ext cx="645160" cy="0"/>
        </a:xfrm>
        <a:prstGeom prst="rect">
          <a:avLst/>
        </a:prstGeom>
        <a:ln>
          <a:prstDash val="solid"/>
        </a:ln>
      </xdr:spPr>
    </xdr:pic>
    <xdr:clientData/>
  </xdr:twoCellAnchor>
  <xdr:twoCellAnchor>
    <xdr:from>
      <xdr:col>31</xdr:col>
      <xdr:colOff>0</xdr:colOff>
      <xdr:row>11</xdr:row>
      <xdr:rowOff>0</xdr:rowOff>
    </xdr:from>
    <xdr:to>
      <xdr:col>31</xdr:col>
      <xdr:colOff>645777</xdr:colOff>
      <xdr:row>11</xdr:row>
      <xdr:rowOff>571725</xdr:rowOff>
    </xdr:to>
    <xdr:pic>
      <xdr:nvPicPr>
        <xdr:cNvPr id="34" name="Image 33" descr="Picture"/>
        <xdr:cNvPicPr/>
      </xdr:nvPicPr>
      <xdr:blipFill>
        <a:blip r:embed="rId16" cstate="print"/>
        <a:stretch>
          <a:fillRect/>
        </a:stretch>
      </xdr:blipFill>
      <xdr:spPr>
        <a:xfrm>
          <a:off x="28204160" y="635000"/>
          <a:ext cx="645160" cy="0"/>
        </a:xfrm>
        <a:prstGeom prst="rect">
          <a:avLst/>
        </a:prstGeom>
        <a:ln>
          <a:prstDash val="solid"/>
        </a:ln>
      </xdr:spPr>
    </xdr:pic>
    <xdr:clientData/>
  </xdr:twoCellAnchor>
  <xdr:twoCellAnchor>
    <xdr:from>
      <xdr:col>7</xdr:col>
      <xdr:colOff>0</xdr:colOff>
      <xdr:row>16</xdr:row>
      <xdr:rowOff>0</xdr:rowOff>
    </xdr:from>
    <xdr:to>
      <xdr:col>7</xdr:col>
      <xdr:colOff>645777</xdr:colOff>
      <xdr:row>16</xdr:row>
      <xdr:rowOff>571725</xdr:rowOff>
    </xdr:to>
    <xdr:pic>
      <xdr:nvPicPr>
        <xdr:cNvPr id="39" name="Image 38" descr="Picture"/>
        <xdr:cNvPicPr/>
      </xdr:nvPicPr>
      <xdr:blipFill>
        <a:blip r:embed="rId4" cstate="print"/>
        <a:stretch>
          <a:fillRect/>
        </a:stretch>
      </xdr:blipFill>
      <xdr:spPr>
        <a:xfrm>
          <a:off x="11277600" y="635000"/>
          <a:ext cx="645160" cy="0"/>
        </a:xfrm>
        <a:prstGeom prst="rect">
          <a:avLst/>
        </a:prstGeom>
        <a:ln>
          <a:prstDash val="solid"/>
        </a:ln>
      </xdr:spPr>
    </xdr:pic>
    <xdr:clientData/>
  </xdr:twoCellAnchor>
  <xdr:twoCellAnchor>
    <xdr:from>
      <xdr:col>25</xdr:col>
      <xdr:colOff>0</xdr:colOff>
      <xdr:row>16</xdr:row>
      <xdr:rowOff>0</xdr:rowOff>
    </xdr:from>
    <xdr:to>
      <xdr:col>25</xdr:col>
      <xdr:colOff>645777</xdr:colOff>
      <xdr:row>16</xdr:row>
      <xdr:rowOff>571725</xdr:rowOff>
    </xdr:to>
    <xdr:pic>
      <xdr:nvPicPr>
        <xdr:cNvPr id="40" name="Image 39" descr="Picture"/>
        <xdr:cNvPicPr/>
      </xdr:nvPicPr>
      <xdr:blipFill>
        <a:blip r:embed="rId17" cstate="print"/>
        <a:stretch>
          <a:fillRect/>
        </a:stretch>
      </xdr:blipFill>
      <xdr:spPr>
        <a:xfrm>
          <a:off x="24030940" y="635000"/>
          <a:ext cx="645160" cy="0"/>
        </a:xfrm>
        <a:prstGeom prst="rect">
          <a:avLst/>
        </a:prstGeom>
        <a:ln>
          <a:prstDash val="solid"/>
        </a:ln>
      </xdr:spPr>
    </xdr:pic>
    <xdr:clientData/>
  </xdr:twoCellAnchor>
  <xdr:twoCellAnchor>
    <xdr:from>
      <xdr:col>27</xdr:col>
      <xdr:colOff>0</xdr:colOff>
      <xdr:row>16</xdr:row>
      <xdr:rowOff>0</xdr:rowOff>
    </xdr:from>
    <xdr:to>
      <xdr:col>27</xdr:col>
      <xdr:colOff>645777</xdr:colOff>
      <xdr:row>16</xdr:row>
      <xdr:rowOff>571725</xdr:rowOff>
    </xdr:to>
    <xdr:pic>
      <xdr:nvPicPr>
        <xdr:cNvPr id="41" name="Image 40" descr="Picture"/>
        <xdr:cNvPicPr/>
      </xdr:nvPicPr>
      <xdr:blipFill>
        <a:blip r:embed="rId4" cstate="print"/>
        <a:stretch>
          <a:fillRect/>
        </a:stretch>
      </xdr:blipFill>
      <xdr:spPr>
        <a:xfrm>
          <a:off x="25460960" y="635000"/>
          <a:ext cx="645160" cy="0"/>
        </a:xfrm>
        <a:prstGeom prst="rect">
          <a:avLst/>
        </a:prstGeom>
        <a:ln>
          <a:prstDash val="solid"/>
        </a:ln>
      </xdr:spPr>
    </xdr:pic>
    <xdr:clientData/>
  </xdr:twoCellAnchor>
  <xdr:twoCellAnchor>
    <xdr:from>
      <xdr:col>31</xdr:col>
      <xdr:colOff>0</xdr:colOff>
      <xdr:row>16</xdr:row>
      <xdr:rowOff>0</xdr:rowOff>
    </xdr:from>
    <xdr:to>
      <xdr:col>31</xdr:col>
      <xdr:colOff>645777</xdr:colOff>
      <xdr:row>16</xdr:row>
      <xdr:rowOff>571725</xdr:rowOff>
    </xdr:to>
    <xdr:pic>
      <xdr:nvPicPr>
        <xdr:cNvPr id="43" name="Image 42" descr="Picture"/>
        <xdr:cNvPicPr/>
      </xdr:nvPicPr>
      <xdr:blipFill>
        <a:blip r:embed="rId18" cstate="print"/>
        <a:stretch>
          <a:fillRect/>
        </a:stretch>
      </xdr:blipFill>
      <xdr:spPr>
        <a:xfrm>
          <a:off x="28204160" y="635000"/>
          <a:ext cx="645160" cy="0"/>
        </a:xfrm>
        <a:prstGeom prst="rect">
          <a:avLst/>
        </a:prstGeom>
        <a:ln>
          <a:prstDash val="solid"/>
        </a:ln>
      </xdr:spPr>
    </xdr:pic>
    <xdr:clientData/>
  </xdr:twoCellAnchor>
  <xdr:twoCellAnchor>
    <xdr:from>
      <xdr:col>7</xdr:col>
      <xdr:colOff>0</xdr:colOff>
      <xdr:row>21</xdr:row>
      <xdr:rowOff>0</xdr:rowOff>
    </xdr:from>
    <xdr:to>
      <xdr:col>7</xdr:col>
      <xdr:colOff>645777</xdr:colOff>
      <xdr:row>21</xdr:row>
      <xdr:rowOff>571725</xdr:rowOff>
    </xdr:to>
    <xdr:pic>
      <xdr:nvPicPr>
        <xdr:cNvPr id="48" name="Image 47" descr="Picture"/>
        <xdr:cNvPicPr/>
      </xdr:nvPicPr>
      <xdr:blipFill>
        <a:blip r:embed="rId6" cstate="print"/>
        <a:stretch>
          <a:fillRect/>
        </a:stretch>
      </xdr:blipFill>
      <xdr:spPr>
        <a:xfrm>
          <a:off x="11277600" y="635000"/>
          <a:ext cx="645160" cy="0"/>
        </a:xfrm>
        <a:prstGeom prst="rect">
          <a:avLst/>
        </a:prstGeom>
        <a:ln>
          <a:prstDash val="solid"/>
        </a:ln>
      </xdr:spPr>
    </xdr:pic>
    <xdr:clientData/>
  </xdr:twoCellAnchor>
  <xdr:twoCellAnchor>
    <xdr:from>
      <xdr:col>25</xdr:col>
      <xdr:colOff>0</xdr:colOff>
      <xdr:row>21</xdr:row>
      <xdr:rowOff>0</xdr:rowOff>
    </xdr:from>
    <xdr:to>
      <xdr:col>25</xdr:col>
      <xdr:colOff>645777</xdr:colOff>
      <xdr:row>21</xdr:row>
      <xdr:rowOff>571725</xdr:rowOff>
    </xdr:to>
    <xdr:pic>
      <xdr:nvPicPr>
        <xdr:cNvPr id="49" name="Image 48" descr="Picture"/>
        <xdr:cNvPicPr/>
      </xdr:nvPicPr>
      <xdr:blipFill>
        <a:blip r:embed="rId19" cstate="print"/>
        <a:stretch>
          <a:fillRect/>
        </a:stretch>
      </xdr:blipFill>
      <xdr:spPr>
        <a:xfrm>
          <a:off x="24030940" y="635000"/>
          <a:ext cx="645160" cy="0"/>
        </a:xfrm>
        <a:prstGeom prst="rect">
          <a:avLst/>
        </a:prstGeom>
        <a:ln>
          <a:prstDash val="solid"/>
        </a:ln>
      </xdr:spPr>
    </xdr:pic>
    <xdr:clientData/>
  </xdr:twoCellAnchor>
  <xdr:twoCellAnchor>
    <xdr:from>
      <xdr:col>27</xdr:col>
      <xdr:colOff>0</xdr:colOff>
      <xdr:row>21</xdr:row>
      <xdr:rowOff>0</xdr:rowOff>
    </xdr:from>
    <xdr:to>
      <xdr:col>27</xdr:col>
      <xdr:colOff>645777</xdr:colOff>
      <xdr:row>21</xdr:row>
      <xdr:rowOff>571725</xdr:rowOff>
    </xdr:to>
    <xdr:pic>
      <xdr:nvPicPr>
        <xdr:cNvPr id="50" name="Image 49" descr="Picture"/>
        <xdr:cNvPicPr/>
      </xdr:nvPicPr>
      <xdr:blipFill>
        <a:blip r:embed="rId6" cstate="print"/>
        <a:stretch>
          <a:fillRect/>
        </a:stretch>
      </xdr:blipFill>
      <xdr:spPr>
        <a:xfrm>
          <a:off x="25460960" y="635000"/>
          <a:ext cx="645160" cy="0"/>
        </a:xfrm>
        <a:prstGeom prst="rect">
          <a:avLst/>
        </a:prstGeom>
        <a:ln>
          <a:prstDash val="solid"/>
        </a:ln>
      </xdr:spPr>
    </xdr:pic>
    <xdr:clientData/>
  </xdr:twoCellAnchor>
  <xdr:twoCellAnchor>
    <xdr:from>
      <xdr:col>31</xdr:col>
      <xdr:colOff>0</xdr:colOff>
      <xdr:row>21</xdr:row>
      <xdr:rowOff>0</xdr:rowOff>
    </xdr:from>
    <xdr:to>
      <xdr:col>31</xdr:col>
      <xdr:colOff>645777</xdr:colOff>
      <xdr:row>21</xdr:row>
      <xdr:rowOff>571725</xdr:rowOff>
    </xdr:to>
    <xdr:pic>
      <xdr:nvPicPr>
        <xdr:cNvPr id="52" name="Image 51" descr="Picture"/>
        <xdr:cNvPicPr/>
      </xdr:nvPicPr>
      <xdr:blipFill>
        <a:blip r:embed="rId20" cstate="print"/>
        <a:stretch>
          <a:fillRect/>
        </a:stretch>
      </xdr:blipFill>
      <xdr:spPr>
        <a:xfrm>
          <a:off x="28204160" y="635000"/>
          <a:ext cx="645160" cy="0"/>
        </a:xfrm>
        <a:prstGeom prst="rect">
          <a:avLst/>
        </a:prstGeom>
        <a:ln>
          <a:prstDash val="solid"/>
        </a:ln>
      </xdr:spPr>
    </xdr:pic>
    <xdr:clientData/>
  </xdr:twoCellAnchor>
  <xdr:twoCellAnchor>
    <xdr:from>
      <xdr:col>7</xdr:col>
      <xdr:colOff>0</xdr:colOff>
      <xdr:row>26</xdr:row>
      <xdr:rowOff>0</xdr:rowOff>
    </xdr:from>
    <xdr:to>
      <xdr:col>7</xdr:col>
      <xdr:colOff>645777</xdr:colOff>
      <xdr:row>26</xdr:row>
      <xdr:rowOff>571725</xdr:rowOff>
    </xdr:to>
    <xdr:pic>
      <xdr:nvPicPr>
        <xdr:cNvPr id="57" name="Image 56" descr="Picture"/>
        <xdr:cNvPicPr/>
      </xdr:nvPicPr>
      <xdr:blipFill>
        <a:blip r:embed="rId2" cstate="print"/>
        <a:stretch>
          <a:fillRect/>
        </a:stretch>
      </xdr:blipFill>
      <xdr:spPr>
        <a:xfrm>
          <a:off x="11277600" y="635000"/>
          <a:ext cx="645160" cy="0"/>
        </a:xfrm>
        <a:prstGeom prst="rect">
          <a:avLst/>
        </a:prstGeom>
        <a:ln>
          <a:prstDash val="solid"/>
        </a:ln>
      </xdr:spPr>
    </xdr:pic>
    <xdr:clientData/>
  </xdr:twoCellAnchor>
  <xdr:twoCellAnchor>
    <xdr:from>
      <xdr:col>25</xdr:col>
      <xdr:colOff>0</xdr:colOff>
      <xdr:row>26</xdr:row>
      <xdr:rowOff>0</xdr:rowOff>
    </xdr:from>
    <xdr:to>
      <xdr:col>25</xdr:col>
      <xdr:colOff>645777</xdr:colOff>
      <xdr:row>26</xdr:row>
      <xdr:rowOff>571725</xdr:rowOff>
    </xdr:to>
    <xdr:pic>
      <xdr:nvPicPr>
        <xdr:cNvPr id="58" name="Image 57" descr="Picture"/>
        <xdr:cNvPicPr/>
      </xdr:nvPicPr>
      <xdr:blipFill>
        <a:blip r:embed="rId21" cstate="print"/>
        <a:stretch>
          <a:fillRect/>
        </a:stretch>
      </xdr:blipFill>
      <xdr:spPr>
        <a:xfrm>
          <a:off x="24030940" y="635000"/>
          <a:ext cx="645160" cy="0"/>
        </a:xfrm>
        <a:prstGeom prst="rect">
          <a:avLst/>
        </a:prstGeom>
        <a:ln>
          <a:prstDash val="solid"/>
        </a:ln>
      </xdr:spPr>
    </xdr:pic>
    <xdr:clientData/>
  </xdr:twoCellAnchor>
  <xdr:twoCellAnchor>
    <xdr:from>
      <xdr:col>27</xdr:col>
      <xdr:colOff>0</xdr:colOff>
      <xdr:row>26</xdr:row>
      <xdr:rowOff>0</xdr:rowOff>
    </xdr:from>
    <xdr:to>
      <xdr:col>27</xdr:col>
      <xdr:colOff>645777</xdr:colOff>
      <xdr:row>26</xdr:row>
      <xdr:rowOff>571725</xdr:rowOff>
    </xdr:to>
    <xdr:pic>
      <xdr:nvPicPr>
        <xdr:cNvPr id="59" name="Image 58" descr="Picture"/>
        <xdr:cNvPicPr/>
      </xdr:nvPicPr>
      <xdr:blipFill>
        <a:blip r:embed="rId2" cstate="print"/>
        <a:stretch>
          <a:fillRect/>
        </a:stretch>
      </xdr:blipFill>
      <xdr:spPr>
        <a:xfrm>
          <a:off x="25460960" y="635000"/>
          <a:ext cx="645160" cy="0"/>
        </a:xfrm>
        <a:prstGeom prst="rect">
          <a:avLst/>
        </a:prstGeom>
        <a:ln>
          <a:prstDash val="solid"/>
        </a:ln>
      </xdr:spPr>
    </xdr:pic>
    <xdr:clientData/>
  </xdr:twoCellAnchor>
  <xdr:twoCellAnchor>
    <xdr:from>
      <xdr:col>31</xdr:col>
      <xdr:colOff>0</xdr:colOff>
      <xdr:row>26</xdr:row>
      <xdr:rowOff>0</xdr:rowOff>
    </xdr:from>
    <xdr:to>
      <xdr:col>31</xdr:col>
      <xdr:colOff>645777</xdr:colOff>
      <xdr:row>26</xdr:row>
      <xdr:rowOff>571725</xdr:rowOff>
    </xdr:to>
    <xdr:pic>
      <xdr:nvPicPr>
        <xdr:cNvPr id="61" name="Image 60" descr="Picture"/>
        <xdr:cNvPicPr/>
      </xdr:nvPicPr>
      <xdr:blipFill>
        <a:blip r:embed="rId22" cstate="print"/>
        <a:stretch>
          <a:fillRect/>
        </a:stretch>
      </xdr:blipFill>
      <xdr:spPr>
        <a:xfrm>
          <a:off x="28204160" y="635000"/>
          <a:ext cx="645160" cy="0"/>
        </a:xfrm>
        <a:prstGeom prst="rect">
          <a:avLst/>
        </a:prstGeom>
        <a:ln>
          <a:prstDash val="solid"/>
        </a:ln>
      </xdr:spPr>
    </xdr:pic>
    <xdr:clientData/>
  </xdr:twoCellAnchor>
  <xdr:twoCellAnchor>
    <xdr:from>
      <xdr:col>7</xdr:col>
      <xdr:colOff>0</xdr:colOff>
      <xdr:row>31</xdr:row>
      <xdr:rowOff>0</xdr:rowOff>
    </xdr:from>
    <xdr:to>
      <xdr:col>7</xdr:col>
      <xdr:colOff>645777</xdr:colOff>
      <xdr:row>31</xdr:row>
      <xdr:rowOff>571725</xdr:rowOff>
    </xdr:to>
    <xdr:pic>
      <xdr:nvPicPr>
        <xdr:cNvPr id="66" name="Image 65" descr="Picture"/>
        <xdr:cNvPicPr/>
      </xdr:nvPicPr>
      <xdr:blipFill>
        <a:blip r:embed="rId7" cstate="print"/>
        <a:stretch>
          <a:fillRect/>
        </a:stretch>
      </xdr:blipFill>
      <xdr:spPr>
        <a:xfrm>
          <a:off x="11277600" y="635000"/>
          <a:ext cx="645160" cy="0"/>
        </a:xfrm>
        <a:prstGeom prst="rect">
          <a:avLst/>
        </a:prstGeom>
        <a:ln>
          <a:prstDash val="solid"/>
        </a:ln>
      </xdr:spPr>
    </xdr:pic>
    <xdr:clientData/>
  </xdr:twoCellAnchor>
  <xdr:twoCellAnchor>
    <xdr:from>
      <xdr:col>25</xdr:col>
      <xdr:colOff>0</xdr:colOff>
      <xdr:row>31</xdr:row>
      <xdr:rowOff>0</xdr:rowOff>
    </xdr:from>
    <xdr:to>
      <xdr:col>25</xdr:col>
      <xdr:colOff>645777</xdr:colOff>
      <xdr:row>31</xdr:row>
      <xdr:rowOff>571725</xdr:rowOff>
    </xdr:to>
    <xdr:pic>
      <xdr:nvPicPr>
        <xdr:cNvPr id="67" name="Image 66" descr="Picture"/>
        <xdr:cNvPicPr/>
      </xdr:nvPicPr>
      <xdr:blipFill>
        <a:blip r:embed="rId23" cstate="print"/>
        <a:stretch>
          <a:fillRect/>
        </a:stretch>
      </xdr:blipFill>
      <xdr:spPr>
        <a:xfrm>
          <a:off x="24030940" y="635000"/>
          <a:ext cx="645160" cy="0"/>
        </a:xfrm>
        <a:prstGeom prst="rect">
          <a:avLst/>
        </a:prstGeom>
        <a:ln>
          <a:prstDash val="solid"/>
        </a:ln>
      </xdr:spPr>
    </xdr:pic>
    <xdr:clientData/>
  </xdr:twoCellAnchor>
  <xdr:twoCellAnchor>
    <xdr:from>
      <xdr:col>27</xdr:col>
      <xdr:colOff>0</xdr:colOff>
      <xdr:row>31</xdr:row>
      <xdr:rowOff>0</xdr:rowOff>
    </xdr:from>
    <xdr:to>
      <xdr:col>27</xdr:col>
      <xdr:colOff>645777</xdr:colOff>
      <xdr:row>31</xdr:row>
      <xdr:rowOff>571725</xdr:rowOff>
    </xdr:to>
    <xdr:pic>
      <xdr:nvPicPr>
        <xdr:cNvPr id="68" name="Image 67" descr="Picture"/>
        <xdr:cNvPicPr/>
      </xdr:nvPicPr>
      <xdr:blipFill>
        <a:blip r:embed="rId7" cstate="print"/>
        <a:stretch>
          <a:fillRect/>
        </a:stretch>
      </xdr:blipFill>
      <xdr:spPr>
        <a:xfrm>
          <a:off x="25460960" y="635000"/>
          <a:ext cx="645160" cy="0"/>
        </a:xfrm>
        <a:prstGeom prst="rect">
          <a:avLst/>
        </a:prstGeom>
        <a:ln>
          <a:prstDash val="solid"/>
        </a:ln>
      </xdr:spPr>
    </xdr:pic>
    <xdr:clientData/>
  </xdr:twoCellAnchor>
  <xdr:twoCellAnchor>
    <xdr:from>
      <xdr:col>31</xdr:col>
      <xdr:colOff>0</xdr:colOff>
      <xdr:row>31</xdr:row>
      <xdr:rowOff>0</xdr:rowOff>
    </xdr:from>
    <xdr:to>
      <xdr:col>31</xdr:col>
      <xdr:colOff>645777</xdr:colOff>
      <xdr:row>31</xdr:row>
      <xdr:rowOff>571725</xdr:rowOff>
    </xdr:to>
    <xdr:pic>
      <xdr:nvPicPr>
        <xdr:cNvPr id="70" name="Image 69" descr="Picture"/>
        <xdr:cNvPicPr/>
      </xdr:nvPicPr>
      <xdr:blipFill>
        <a:blip r:embed="rId24" cstate="print"/>
        <a:stretch>
          <a:fillRect/>
        </a:stretch>
      </xdr:blipFill>
      <xdr:spPr>
        <a:xfrm>
          <a:off x="28204160" y="635000"/>
          <a:ext cx="645160" cy="0"/>
        </a:xfrm>
        <a:prstGeom prst="rect">
          <a:avLst/>
        </a:prstGeom>
        <a:ln>
          <a:prstDash val="solid"/>
        </a:ln>
      </xdr:spPr>
    </xdr:pic>
    <xdr:clientData/>
  </xdr:twoCellAnchor>
  <xdr:twoCellAnchor>
    <xdr:from>
      <xdr:col>7</xdr:col>
      <xdr:colOff>0</xdr:colOff>
      <xdr:row>36</xdr:row>
      <xdr:rowOff>0</xdr:rowOff>
    </xdr:from>
    <xdr:to>
      <xdr:col>7</xdr:col>
      <xdr:colOff>645777</xdr:colOff>
      <xdr:row>36</xdr:row>
      <xdr:rowOff>571725</xdr:rowOff>
    </xdr:to>
    <xdr:pic>
      <xdr:nvPicPr>
        <xdr:cNvPr id="75" name="Image 74" descr="Picture"/>
        <xdr:cNvPicPr/>
      </xdr:nvPicPr>
      <xdr:blipFill>
        <a:blip r:embed="rId25" cstate="print"/>
        <a:stretch>
          <a:fillRect/>
        </a:stretch>
      </xdr:blipFill>
      <xdr:spPr>
        <a:xfrm>
          <a:off x="11277600" y="635000"/>
          <a:ext cx="645160" cy="571500"/>
        </a:xfrm>
        <a:prstGeom prst="rect">
          <a:avLst/>
        </a:prstGeom>
        <a:ln>
          <a:prstDash val="solid"/>
        </a:ln>
      </xdr:spPr>
    </xdr:pic>
    <xdr:clientData/>
  </xdr:twoCellAnchor>
  <xdr:twoCellAnchor>
    <xdr:from>
      <xdr:col>25</xdr:col>
      <xdr:colOff>0</xdr:colOff>
      <xdr:row>36</xdr:row>
      <xdr:rowOff>0</xdr:rowOff>
    </xdr:from>
    <xdr:to>
      <xdr:col>25</xdr:col>
      <xdr:colOff>645777</xdr:colOff>
      <xdr:row>36</xdr:row>
      <xdr:rowOff>571725</xdr:rowOff>
    </xdr:to>
    <xdr:pic>
      <xdr:nvPicPr>
        <xdr:cNvPr id="76" name="Image 75" descr="Picture"/>
        <xdr:cNvPicPr/>
      </xdr:nvPicPr>
      <xdr:blipFill>
        <a:blip r:embed="rId25" cstate="print"/>
        <a:stretch>
          <a:fillRect/>
        </a:stretch>
      </xdr:blipFill>
      <xdr:spPr>
        <a:xfrm>
          <a:off x="24030940" y="635000"/>
          <a:ext cx="645160" cy="571500"/>
        </a:xfrm>
        <a:prstGeom prst="rect">
          <a:avLst/>
        </a:prstGeom>
        <a:ln>
          <a:prstDash val="solid"/>
        </a:ln>
      </xdr:spPr>
    </xdr:pic>
    <xdr:clientData/>
  </xdr:twoCellAnchor>
  <xdr:twoCellAnchor>
    <xdr:from>
      <xdr:col>27</xdr:col>
      <xdr:colOff>0</xdr:colOff>
      <xdr:row>36</xdr:row>
      <xdr:rowOff>0</xdr:rowOff>
    </xdr:from>
    <xdr:to>
      <xdr:col>27</xdr:col>
      <xdr:colOff>645777</xdr:colOff>
      <xdr:row>36</xdr:row>
      <xdr:rowOff>571725</xdr:rowOff>
    </xdr:to>
    <xdr:pic>
      <xdr:nvPicPr>
        <xdr:cNvPr id="77" name="Image 76" descr="Picture"/>
        <xdr:cNvPicPr/>
      </xdr:nvPicPr>
      <xdr:blipFill>
        <a:blip r:embed="rId26" cstate="print"/>
        <a:stretch>
          <a:fillRect/>
        </a:stretch>
      </xdr:blipFill>
      <xdr:spPr>
        <a:xfrm>
          <a:off x="25460960" y="635000"/>
          <a:ext cx="645160" cy="571500"/>
        </a:xfrm>
        <a:prstGeom prst="rect">
          <a:avLst/>
        </a:prstGeom>
        <a:ln>
          <a:prstDash val="solid"/>
        </a:ln>
      </xdr:spPr>
    </xdr:pic>
    <xdr:clientData/>
  </xdr:twoCellAnchor>
  <xdr:twoCellAnchor>
    <xdr:from>
      <xdr:col>29</xdr:col>
      <xdr:colOff>0</xdr:colOff>
      <xdr:row>36</xdr:row>
      <xdr:rowOff>0</xdr:rowOff>
    </xdr:from>
    <xdr:to>
      <xdr:col>29</xdr:col>
      <xdr:colOff>645777</xdr:colOff>
      <xdr:row>36</xdr:row>
      <xdr:rowOff>571725</xdr:rowOff>
    </xdr:to>
    <xdr:pic>
      <xdr:nvPicPr>
        <xdr:cNvPr id="78" name="Image 77" descr="Picture"/>
        <xdr:cNvPicPr/>
      </xdr:nvPicPr>
      <xdr:blipFill>
        <a:blip r:embed="rId27" cstate="print"/>
        <a:stretch>
          <a:fillRect/>
        </a:stretch>
      </xdr:blipFill>
      <xdr:spPr>
        <a:xfrm>
          <a:off x="26832560" y="635000"/>
          <a:ext cx="645160" cy="571500"/>
        </a:xfrm>
        <a:prstGeom prst="rect">
          <a:avLst/>
        </a:prstGeom>
        <a:ln>
          <a:prstDash val="solid"/>
        </a:ln>
      </xdr:spPr>
    </xdr:pic>
    <xdr:clientData/>
  </xdr:twoCellAnchor>
  <xdr:twoCellAnchor>
    <xdr:from>
      <xdr:col>7</xdr:col>
      <xdr:colOff>0</xdr:colOff>
      <xdr:row>37</xdr:row>
      <xdr:rowOff>0</xdr:rowOff>
    </xdr:from>
    <xdr:to>
      <xdr:col>7</xdr:col>
      <xdr:colOff>645777</xdr:colOff>
      <xdr:row>37</xdr:row>
      <xdr:rowOff>571725</xdr:rowOff>
    </xdr:to>
    <xdr:pic>
      <xdr:nvPicPr>
        <xdr:cNvPr id="79" name="Image 78" descr="Picture"/>
        <xdr:cNvPicPr/>
      </xdr:nvPicPr>
      <xdr:blipFill>
        <a:blip r:embed="rId28" cstate="print"/>
        <a:stretch>
          <a:fillRect/>
        </a:stretch>
      </xdr:blipFill>
      <xdr:spPr>
        <a:xfrm>
          <a:off x="11277600" y="1270000"/>
          <a:ext cx="645160" cy="0"/>
        </a:xfrm>
        <a:prstGeom prst="rect">
          <a:avLst/>
        </a:prstGeom>
        <a:ln>
          <a:prstDash val="solid"/>
        </a:ln>
      </xdr:spPr>
    </xdr:pic>
    <xdr:clientData/>
  </xdr:twoCellAnchor>
  <xdr:twoCellAnchor>
    <xdr:from>
      <xdr:col>25</xdr:col>
      <xdr:colOff>0</xdr:colOff>
      <xdr:row>37</xdr:row>
      <xdr:rowOff>0</xdr:rowOff>
    </xdr:from>
    <xdr:to>
      <xdr:col>25</xdr:col>
      <xdr:colOff>645777</xdr:colOff>
      <xdr:row>37</xdr:row>
      <xdr:rowOff>571725</xdr:rowOff>
    </xdr:to>
    <xdr:pic>
      <xdr:nvPicPr>
        <xdr:cNvPr id="80" name="Image 79" descr="Picture"/>
        <xdr:cNvPicPr/>
      </xdr:nvPicPr>
      <xdr:blipFill>
        <a:blip r:embed="rId28" cstate="print"/>
        <a:stretch>
          <a:fillRect/>
        </a:stretch>
      </xdr:blipFill>
      <xdr:spPr>
        <a:xfrm>
          <a:off x="24030940" y="1270000"/>
          <a:ext cx="645160" cy="0"/>
        </a:xfrm>
        <a:prstGeom prst="rect">
          <a:avLst/>
        </a:prstGeom>
        <a:ln>
          <a:prstDash val="solid"/>
        </a:ln>
      </xdr:spPr>
    </xdr:pic>
    <xdr:clientData/>
  </xdr:twoCellAnchor>
  <xdr:twoCellAnchor>
    <xdr:from>
      <xdr:col>27</xdr:col>
      <xdr:colOff>0</xdr:colOff>
      <xdr:row>37</xdr:row>
      <xdr:rowOff>0</xdr:rowOff>
    </xdr:from>
    <xdr:to>
      <xdr:col>27</xdr:col>
      <xdr:colOff>645777</xdr:colOff>
      <xdr:row>37</xdr:row>
      <xdr:rowOff>571725</xdr:rowOff>
    </xdr:to>
    <xdr:pic>
      <xdr:nvPicPr>
        <xdr:cNvPr id="81" name="Image 80" descr="Picture"/>
        <xdr:cNvPicPr/>
      </xdr:nvPicPr>
      <xdr:blipFill>
        <a:blip r:embed="rId25" cstate="print"/>
        <a:stretch>
          <a:fillRect/>
        </a:stretch>
      </xdr:blipFill>
      <xdr:spPr>
        <a:xfrm>
          <a:off x="25460960" y="1270000"/>
          <a:ext cx="645160" cy="0"/>
        </a:xfrm>
        <a:prstGeom prst="rect">
          <a:avLst/>
        </a:prstGeom>
        <a:ln>
          <a:prstDash val="solid"/>
        </a:ln>
      </xdr:spPr>
    </xdr:pic>
    <xdr:clientData/>
  </xdr:twoCellAnchor>
  <xdr:twoCellAnchor>
    <xdr:from>
      <xdr:col>29</xdr:col>
      <xdr:colOff>0</xdr:colOff>
      <xdr:row>37</xdr:row>
      <xdr:rowOff>0</xdr:rowOff>
    </xdr:from>
    <xdr:to>
      <xdr:col>29</xdr:col>
      <xdr:colOff>645777</xdr:colOff>
      <xdr:row>37</xdr:row>
      <xdr:rowOff>571725</xdr:rowOff>
    </xdr:to>
    <xdr:pic>
      <xdr:nvPicPr>
        <xdr:cNvPr id="82" name="Image 81" descr="Picture"/>
        <xdr:cNvPicPr/>
      </xdr:nvPicPr>
      <xdr:blipFill>
        <a:blip r:embed="rId26" cstate="print"/>
        <a:stretch>
          <a:fillRect/>
        </a:stretch>
      </xdr:blipFill>
      <xdr:spPr>
        <a:xfrm>
          <a:off x="26832560" y="1270000"/>
          <a:ext cx="645160" cy="0"/>
        </a:xfrm>
        <a:prstGeom prst="rect">
          <a:avLst/>
        </a:prstGeom>
        <a:ln>
          <a:prstDash val="solid"/>
        </a:ln>
      </xdr:spPr>
    </xdr:pic>
    <xdr:clientData/>
  </xdr:twoCellAnchor>
  <xdr:twoCellAnchor>
    <xdr:from>
      <xdr:col>31</xdr:col>
      <xdr:colOff>0</xdr:colOff>
      <xdr:row>37</xdr:row>
      <xdr:rowOff>0</xdr:rowOff>
    </xdr:from>
    <xdr:to>
      <xdr:col>31</xdr:col>
      <xdr:colOff>645777</xdr:colOff>
      <xdr:row>37</xdr:row>
      <xdr:rowOff>571725</xdr:rowOff>
    </xdr:to>
    <xdr:pic>
      <xdr:nvPicPr>
        <xdr:cNvPr id="83" name="Image 82" descr="Picture"/>
        <xdr:cNvPicPr/>
      </xdr:nvPicPr>
      <xdr:blipFill>
        <a:blip r:embed="rId27" cstate="print"/>
        <a:stretch>
          <a:fillRect/>
        </a:stretch>
      </xdr:blipFill>
      <xdr:spPr>
        <a:xfrm>
          <a:off x="28204160" y="1270000"/>
          <a:ext cx="645160" cy="0"/>
        </a:xfrm>
        <a:prstGeom prst="rect">
          <a:avLst/>
        </a:prstGeom>
        <a:ln>
          <a:prstDash val="solid"/>
        </a:ln>
      </xdr:spPr>
    </xdr:pic>
    <xdr:clientData/>
  </xdr:twoCellAnchor>
  <xdr:twoCellAnchor>
    <xdr:from>
      <xdr:col>7</xdr:col>
      <xdr:colOff>0</xdr:colOff>
      <xdr:row>41</xdr:row>
      <xdr:rowOff>0</xdr:rowOff>
    </xdr:from>
    <xdr:to>
      <xdr:col>7</xdr:col>
      <xdr:colOff>645777</xdr:colOff>
      <xdr:row>41</xdr:row>
      <xdr:rowOff>571725</xdr:rowOff>
    </xdr:to>
    <xdr:pic>
      <xdr:nvPicPr>
        <xdr:cNvPr id="87" name="Image 86" descr="Picture"/>
        <xdr:cNvPicPr/>
      </xdr:nvPicPr>
      <xdr:blipFill>
        <a:blip r:embed="rId29" cstate="print"/>
        <a:stretch>
          <a:fillRect/>
        </a:stretch>
      </xdr:blipFill>
      <xdr:spPr>
        <a:xfrm>
          <a:off x="11277600" y="1270000"/>
          <a:ext cx="645160" cy="571500"/>
        </a:xfrm>
        <a:prstGeom prst="rect">
          <a:avLst/>
        </a:prstGeom>
        <a:ln>
          <a:prstDash val="solid"/>
        </a:ln>
      </xdr:spPr>
    </xdr:pic>
    <xdr:clientData/>
  </xdr:twoCellAnchor>
  <xdr:twoCellAnchor>
    <xdr:from>
      <xdr:col>25</xdr:col>
      <xdr:colOff>0</xdr:colOff>
      <xdr:row>41</xdr:row>
      <xdr:rowOff>0</xdr:rowOff>
    </xdr:from>
    <xdr:to>
      <xdr:col>25</xdr:col>
      <xdr:colOff>645777</xdr:colOff>
      <xdr:row>41</xdr:row>
      <xdr:rowOff>571725</xdr:rowOff>
    </xdr:to>
    <xdr:pic>
      <xdr:nvPicPr>
        <xdr:cNvPr id="88" name="Image 87" descr="Picture"/>
        <xdr:cNvPicPr/>
      </xdr:nvPicPr>
      <xdr:blipFill>
        <a:blip r:embed="rId29" cstate="print"/>
        <a:stretch>
          <a:fillRect/>
        </a:stretch>
      </xdr:blipFill>
      <xdr:spPr>
        <a:xfrm>
          <a:off x="24030940" y="1270000"/>
          <a:ext cx="645160" cy="571500"/>
        </a:xfrm>
        <a:prstGeom prst="rect">
          <a:avLst/>
        </a:prstGeom>
        <a:ln>
          <a:prstDash val="solid"/>
        </a:ln>
      </xdr:spPr>
    </xdr:pic>
    <xdr:clientData/>
  </xdr:twoCellAnchor>
  <xdr:twoCellAnchor>
    <xdr:from>
      <xdr:col>27</xdr:col>
      <xdr:colOff>0</xdr:colOff>
      <xdr:row>41</xdr:row>
      <xdr:rowOff>0</xdr:rowOff>
    </xdr:from>
    <xdr:to>
      <xdr:col>27</xdr:col>
      <xdr:colOff>645777</xdr:colOff>
      <xdr:row>41</xdr:row>
      <xdr:rowOff>571725</xdr:rowOff>
    </xdr:to>
    <xdr:pic>
      <xdr:nvPicPr>
        <xdr:cNvPr id="89" name="Image 88" descr="Picture"/>
        <xdr:cNvPicPr/>
      </xdr:nvPicPr>
      <xdr:blipFill>
        <a:blip r:embed="rId30" cstate="print"/>
        <a:stretch>
          <a:fillRect/>
        </a:stretch>
      </xdr:blipFill>
      <xdr:spPr>
        <a:xfrm>
          <a:off x="25460960" y="1270000"/>
          <a:ext cx="645160" cy="571500"/>
        </a:xfrm>
        <a:prstGeom prst="rect">
          <a:avLst/>
        </a:prstGeom>
        <a:ln>
          <a:prstDash val="solid"/>
        </a:ln>
      </xdr:spPr>
    </xdr:pic>
    <xdr:clientData/>
  </xdr:twoCellAnchor>
  <xdr:twoCellAnchor>
    <xdr:from>
      <xdr:col>29</xdr:col>
      <xdr:colOff>0</xdr:colOff>
      <xdr:row>41</xdr:row>
      <xdr:rowOff>0</xdr:rowOff>
    </xdr:from>
    <xdr:to>
      <xdr:col>29</xdr:col>
      <xdr:colOff>645777</xdr:colOff>
      <xdr:row>41</xdr:row>
      <xdr:rowOff>571725</xdr:rowOff>
    </xdr:to>
    <xdr:pic>
      <xdr:nvPicPr>
        <xdr:cNvPr id="90" name="Image 89" descr="Picture"/>
        <xdr:cNvPicPr/>
      </xdr:nvPicPr>
      <xdr:blipFill>
        <a:blip r:embed="rId31" cstate="print"/>
        <a:stretch>
          <a:fillRect/>
        </a:stretch>
      </xdr:blipFill>
      <xdr:spPr>
        <a:xfrm>
          <a:off x="26832560" y="1270000"/>
          <a:ext cx="645160" cy="571500"/>
        </a:xfrm>
        <a:prstGeom prst="rect">
          <a:avLst/>
        </a:prstGeom>
        <a:ln>
          <a:prstDash val="solid"/>
        </a:ln>
      </xdr:spPr>
    </xdr:pic>
    <xdr:clientData/>
  </xdr:twoCellAnchor>
  <xdr:twoCellAnchor>
    <xdr:from>
      <xdr:col>31</xdr:col>
      <xdr:colOff>0</xdr:colOff>
      <xdr:row>41</xdr:row>
      <xdr:rowOff>0</xdr:rowOff>
    </xdr:from>
    <xdr:to>
      <xdr:col>31</xdr:col>
      <xdr:colOff>645777</xdr:colOff>
      <xdr:row>41</xdr:row>
      <xdr:rowOff>571725</xdr:rowOff>
    </xdr:to>
    <xdr:pic>
      <xdr:nvPicPr>
        <xdr:cNvPr id="91" name="Image 90" descr="Picture"/>
        <xdr:cNvPicPr/>
      </xdr:nvPicPr>
      <xdr:blipFill>
        <a:blip r:embed="rId32" cstate="print"/>
        <a:stretch>
          <a:fillRect/>
        </a:stretch>
      </xdr:blipFill>
      <xdr:spPr>
        <a:xfrm>
          <a:off x="28204160" y="1270000"/>
          <a:ext cx="645160" cy="571500"/>
        </a:xfrm>
        <a:prstGeom prst="rect">
          <a:avLst/>
        </a:prstGeom>
        <a:ln>
          <a:prstDash val="solid"/>
        </a:ln>
      </xdr:spPr>
    </xdr:pic>
    <xdr:clientData/>
  </xdr:twoCellAnchor>
  <xdr:twoCellAnchor>
    <xdr:from>
      <xdr:col>7</xdr:col>
      <xdr:colOff>0</xdr:colOff>
      <xdr:row>42</xdr:row>
      <xdr:rowOff>0</xdr:rowOff>
    </xdr:from>
    <xdr:to>
      <xdr:col>7</xdr:col>
      <xdr:colOff>645777</xdr:colOff>
      <xdr:row>42</xdr:row>
      <xdr:rowOff>571725</xdr:rowOff>
    </xdr:to>
    <xdr:pic>
      <xdr:nvPicPr>
        <xdr:cNvPr id="92" name="Image 91" descr="Picture"/>
        <xdr:cNvPicPr/>
      </xdr:nvPicPr>
      <xdr:blipFill>
        <a:blip r:embed="rId29" cstate="print"/>
        <a:stretch>
          <a:fillRect/>
        </a:stretch>
      </xdr:blipFill>
      <xdr:spPr>
        <a:xfrm>
          <a:off x="11277600" y="1905000"/>
          <a:ext cx="645160" cy="0"/>
        </a:xfrm>
        <a:prstGeom prst="rect">
          <a:avLst/>
        </a:prstGeom>
        <a:ln>
          <a:prstDash val="solid"/>
        </a:ln>
      </xdr:spPr>
    </xdr:pic>
    <xdr:clientData/>
  </xdr:twoCellAnchor>
  <xdr:twoCellAnchor>
    <xdr:from>
      <xdr:col>25</xdr:col>
      <xdr:colOff>0</xdr:colOff>
      <xdr:row>42</xdr:row>
      <xdr:rowOff>0</xdr:rowOff>
    </xdr:from>
    <xdr:to>
      <xdr:col>25</xdr:col>
      <xdr:colOff>645777</xdr:colOff>
      <xdr:row>42</xdr:row>
      <xdr:rowOff>571725</xdr:rowOff>
    </xdr:to>
    <xdr:pic>
      <xdr:nvPicPr>
        <xdr:cNvPr id="93" name="Image 92" descr="Picture"/>
        <xdr:cNvPicPr/>
      </xdr:nvPicPr>
      <xdr:blipFill>
        <a:blip r:embed="rId33" cstate="print"/>
        <a:stretch>
          <a:fillRect/>
        </a:stretch>
      </xdr:blipFill>
      <xdr:spPr>
        <a:xfrm>
          <a:off x="24030940" y="1905000"/>
          <a:ext cx="645160" cy="0"/>
        </a:xfrm>
        <a:prstGeom prst="rect">
          <a:avLst/>
        </a:prstGeom>
        <a:ln>
          <a:prstDash val="solid"/>
        </a:ln>
      </xdr:spPr>
    </xdr:pic>
    <xdr:clientData/>
  </xdr:twoCellAnchor>
  <xdr:twoCellAnchor>
    <xdr:from>
      <xdr:col>27</xdr:col>
      <xdr:colOff>0</xdr:colOff>
      <xdr:row>42</xdr:row>
      <xdr:rowOff>0</xdr:rowOff>
    </xdr:from>
    <xdr:to>
      <xdr:col>27</xdr:col>
      <xdr:colOff>645777</xdr:colOff>
      <xdr:row>42</xdr:row>
      <xdr:rowOff>571725</xdr:rowOff>
    </xdr:to>
    <xdr:pic>
      <xdr:nvPicPr>
        <xdr:cNvPr id="94" name="Image 93" descr="Picture"/>
        <xdr:cNvPicPr/>
      </xdr:nvPicPr>
      <xdr:blipFill>
        <a:blip r:embed="rId29" cstate="print"/>
        <a:stretch>
          <a:fillRect/>
        </a:stretch>
      </xdr:blipFill>
      <xdr:spPr>
        <a:xfrm>
          <a:off x="25460960" y="1905000"/>
          <a:ext cx="645160" cy="0"/>
        </a:xfrm>
        <a:prstGeom prst="rect">
          <a:avLst/>
        </a:prstGeom>
        <a:ln>
          <a:prstDash val="solid"/>
        </a:ln>
      </xdr:spPr>
    </xdr:pic>
    <xdr:clientData/>
  </xdr:twoCellAnchor>
  <xdr:twoCellAnchor>
    <xdr:from>
      <xdr:col>29</xdr:col>
      <xdr:colOff>0</xdr:colOff>
      <xdr:row>42</xdr:row>
      <xdr:rowOff>0</xdr:rowOff>
    </xdr:from>
    <xdr:to>
      <xdr:col>29</xdr:col>
      <xdr:colOff>645777</xdr:colOff>
      <xdr:row>42</xdr:row>
      <xdr:rowOff>571725</xdr:rowOff>
    </xdr:to>
    <xdr:pic>
      <xdr:nvPicPr>
        <xdr:cNvPr id="95" name="Image 94" descr="Picture"/>
        <xdr:cNvPicPr/>
      </xdr:nvPicPr>
      <xdr:blipFill>
        <a:blip r:embed="rId30" cstate="print"/>
        <a:stretch>
          <a:fillRect/>
        </a:stretch>
      </xdr:blipFill>
      <xdr:spPr>
        <a:xfrm>
          <a:off x="26832560" y="1905000"/>
          <a:ext cx="645160" cy="0"/>
        </a:xfrm>
        <a:prstGeom prst="rect">
          <a:avLst/>
        </a:prstGeom>
        <a:ln>
          <a:prstDash val="solid"/>
        </a:ln>
      </xdr:spPr>
    </xdr:pic>
    <xdr:clientData/>
  </xdr:twoCellAnchor>
  <xdr:twoCellAnchor>
    <xdr:from>
      <xdr:col>31</xdr:col>
      <xdr:colOff>0</xdr:colOff>
      <xdr:row>42</xdr:row>
      <xdr:rowOff>0</xdr:rowOff>
    </xdr:from>
    <xdr:to>
      <xdr:col>31</xdr:col>
      <xdr:colOff>645777</xdr:colOff>
      <xdr:row>42</xdr:row>
      <xdr:rowOff>571725</xdr:rowOff>
    </xdr:to>
    <xdr:pic>
      <xdr:nvPicPr>
        <xdr:cNvPr id="96" name="Image 95" descr="Picture"/>
        <xdr:cNvPicPr/>
      </xdr:nvPicPr>
      <xdr:blipFill>
        <a:blip r:embed="rId31" cstate="print"/>
        <a:stretch>
          <a:fillRect/>
        </a:stretch>
      </xdr:blipFill>
      <xdr:spPr>
        <a:xfrm>
          <a:off x="28204160" y="1905000"/>
          <a:ext cx="645160" cy="0"/>
        </a:xfrm>
        <a:prstGeom prst="rect">
          <a:avLst/>
        </a:prstGeom>
        <a:ln>
          <a:prstDash val="solid"/>
        </a:ln>
      </xdr:spPr>
    </xdr:pic>
    <xdr:clientData/>
  </xdr:twoCellAnchor>
  <xdr:twoCellAnchor>
    <xdr:from>
      <xdr:col>33</xdr:col>
      <xdr:colOff>0</xdr:colOff>
      <xdr:row>42</xdr:row>
      <xdr:rowOff>0</xdr:rowOff>
    </xdr:from>
    <xdr:to>
      <xdr:col>33</xdr:col>
      <xdr:colOff>645777</xdr:colOff>
      <xdr:row>42</xdr:row>
      <xdr:rowOff>571725</xdr:rowOff>
    </xdr:to>
    <xdr:pic>
      <xdr:nvPicPr>
        <xdr:cNvPr id="97" name="Image 96" descr="Picture"/>
        <xdr:cNvPicPr/>
      </xdr:nvPicPr>
      <xdr:blipFill>
        <a:blip r:embed="rId32" cstate="print"/>
        <a:stretch>
          <a:fillRect/>
        </a:stretch>
      </xdr:blipFill>
      <xdr:spPr>
        <a:xfrm>
          <a:off x="29575760" y="1905000"/>
          <a:ext cx="645160" cy="0"/>
        </a:xfrm>
        <a:prstGeom prst="rect">
          <a:avLst/>
        </a:prstGeom>
        <a:ln>
          <a:prstDash val="solid"/>
        </a:ln>
      </xdr:spPr>
    </xdr:pic>
    <xdr:clientData/>
  </xdr:twoCellAnchor>
  <xdr:twoCellAnchor>
    <xdr:from>
      <xdr:col>7</xdr:col>
      <xdr:colOff>0</xdr:colOff>
      <xdr:row>50</xdr:row>
      <xdr:rowOff>0</xdr:rowOff>
    </xdr:from>
    <xdr:to>
      <xdr:col>7</xdr:col>
      <xdr:colOff>645777</xdr:colOff>
      <xdr:row>50</xdr:row>
      <xdr:rowOff>571725</xdr:rowOff>
    </xdr:to>
    <xdr:pic>
      <xdr:nvPicPr>
        <xdr:cNvPr id="105" name="Image 104" descr="Picture"/>
        <xdr:cNvPicPr/>
      </xdr:nvPicPr>
      <xdr:blipFill>
        <a:blip r:embed="rId34" cstate="print"/>
        <a:stretch>
          <a:fillRect/>
        </a:stretch>
      </xdr:blipFill>
      <xdr:spPr>
        <a:xfrm>
          <a:off x="11277600" y="1905000"/>
          <a:ext cx="645160" cy="571500"/>
        </a:xfrm>
        <a:prstGeom prst="rect">
          <a:avLst/>
        </a:prstGeom>
        <a:ln>
          <a:prstDash val="solid"/>
        </a:ln>
      </xdr:spPr>
    </xdr:pic>
    <xdr:clientData/>
  </xdr:twoCellAnchor>
  <xdr:twoCellAnchor>
    <xdr:from>
      <xdr:col>25</xdr:col>
      <xdr:colOff>0</xdr:colOff>
      <xdr:row>50</xdr:row>
      <xdr:rowOff>0</xdr:rowOff>
    </xdr:from>
    <xdr:to>
      <xdr:col>25</xdr:col>
      <xdr:colOff>645777</xdr:colOff>
      <xdr:row>50</xdr:row>
      <xdr:rowOff>571725</xdr:rowOff>
    </xdr:to>
    <xdr:pic>
      <xdr:nvPicPr>
        <xdr:cNvPr id="106" name="Image 105" descr="Picture"/>
        <xdr:cNvPicPr/>
      </xdr:nvPicPr>
      <xdr:blipFill>
        <a:blip r:embed="rId34" cstate="print"/>
        <a:stretch>
          <a:fillRect/>
        </a:stretch>
      </xdr:blipFill>
      <xdr:spPr>
        <a:xfrm>
          <a:off x="24030940" y="1905000"/>
          <a:ext cx="645160" cy="571500"/>
        </a:xfrm>
        <a:prstGeom prst="rect">
          <a:avLst/>
        </a:prstGeom>
        <a:ln>
          <a:prstDash val="solid"/>
        </a:ln>
      </xdr:spPr>
    </xdr:pic>
    <xdr:clientData/>
  </xdr:twoCellAnchor>
  <xdr:twoCellAnchor>
    <xdr:from>
      <xdr:col>27</xdr:col>
      <xdr:colOff>0</xdr:colOff>
      <xdr:row>50</xdr:row>
      <xdr:rowOff>0</xdr:rowOff>
    </xdr:from>
    <xdr:to>
      <xdr:col>27</xdr:col>
      <xdr:colOff>645777</xdr:colOff>
      <xdr:row>50</xdr:row>
      <xdr:rowOff>571725</xdr:rowOff>
    </xdr:to>
    <xdr:pic>
      <xdr:nvPicPr>
        <xdr:cNvPr id="107" name="Image 106" descr="Picture"/>
        <xdr:cNvPicPr/>
      </xdr:nvPicPr>
      <xdr:blipFill>
        <a:blip r:embed="rId35" cstate="print"/>
        <a:stretch>
          <a:fillRect/>
        </a:stretch>
      </xdr:blipFill>
      <xdr:spPr>
        <a:xfrm>
          <a:off x="25460960" y="1905000"/>
          <a:ext cx="645160" cy="571500"/>
        </a:xfrm>
        <a:prstGeom prst="rect">
          <a:avLst/>
        </a:prstGeom>
        <a:ln>
          <a:prstDash val="solid"/>
        </a:ln>
      </xdr:spPr>
    </xdr:pic>
    <xdr:clientData/>
  </xdr:twoCellAnchor>
  <xdr:twoCellAnchor>
    <xdr:from>
      <xdr:col>29</xdr:col>
      <xdr:colOff>0</xdr:colOff>
      <xdr:row>50</xdr:row>
      <xdr:rowOff>0</xdr:rowOff>
    </xdr:from>
    <xdr:to>
      <xdr:col>29</xdr:col>
      <xdr:colOff>645777</xdr:colOff>
      <xdr:row>50</xdr:row>
      <xdr:rowOff>571725</xdr:rowOff>
    </xdr:to>
    <xdr:pic>
      <xdr:nvPicPr>
        <xdr:cNvPr id="108" name="Image 107" descr="Picture"/>
        <xdr:cNvPicPr/>
      </xdr:nvPicPr>
      <xdr:blipFill>
        <a:blip r:embed="rId36" cstate="print"/>
        <a:stretch>
          <a:fillRect/>
        </a:stretch>
      </xdr:blipFill>
      <xdr:spPr>
        <a:xfrm>
          <a:off x="26832560" y="1905000"/>
          <a:ext cx="645160" cy="571500"/>
        </a:xfrm>
        <a:prstGeom prst="rect">
          <a:avLst/>
        </a:prstGeom>
        <a:ln>
          <a:prstDash val="solid"/>
        </a:ln>
      </xdr:spPr>
    </xdr:pic>
    <xdr:clientData/>
  </xdr:twoCellAnchor>
  <xdr:twoCellAnchor>
    <xdr:from>
      <xdr:col>31</xdr:col>
      <xdr:colOff>0</xdr:colOff>
      <xdr:row>50</xdr:row>
      <xdr:rowOff>0</xdr:rowOff>
    </xdr:from>
    <xdr:to>
      <xdr:col>31</xdr:col>
      <xdr:colOff>645777</xdr:colOff>
      <xdr:row>50</xdr:row>
      <xdr:rowOff>571725</xdr:rowOff>
    </xdr:to>
    <xdr:pic>
      <xdr:nvPicPr>
        <xdr:cNvPr id="109" name="Image 108" descr="Picture"/>
        <xdr:cNvPicPr/>
      </xdr:nvPicPr>
      <xdr:blipFill>
        <a:blip r:embed="rId37" cstate="print"/>
        <a:stretch>
          <a:fillRect/>
        </a:stretch>
      </xdr:blipFill>
      <xdr:spPr>
        <a:xfrm>
          <a:off x="28204160" y="1905000"/>
          <a:ext cx="645160" cy="571500"/>
        </a:xfrm>
        <a:prstGeom prst="rect">
          <a:avLst/>
        </a:prstGeom>
        <a:ln>
          <a:prstDash val="solid"/>
        </a:ln>
      </xdr:spPr>
    </xdr:pic>
    <xdr:clientData/>
  </xdr:twoCellAnchor>
  <xdr:twoCellAnchor>
    <xdr:from>
      <xdr:col>33</xdr:col>
      <xdr:colOff>0</xdr:colOff>
      <xdr:row>50</xdr:row>
      <xdr:rowOff>0</xdr:rowOff>
    </xdr:from>
    <xdr:to>
      <xdr:col>33</xdr:col>
      <xdr:colOff>645777</xdr:colOff>
      <xdr:row>50</xdr:row>
      <xdr:rowOff>571725</xdr:rowOff>
    </xdr:to>
    <xdr:pic>
      <xdr:nvPicPr>
        <xdr:cNvPr id="110" name="Image 109" descr="Picture"/>
        <xdr:cNvPicPr/>
      </xdr:nvPicPr>
      <xdr:blipFill>
        <a:blip r:embed="rId38" cstate="print"/>
        <a:stretch>
          <a:fillRect/>
        </a:stretch>
      </xdr:blipFill>
      <xdr:spPr>
        <a:xfrm>
          <a:off x="29575760" y="1905000"/>
          <a:ext cx="645160" cy="571500"/>
        </a:xfrm>
        <a:prstGeom prst="rect">
          <a:avLst/>
        </a:prstGeom>
        <a:ln>
          <a:prstDash val="solid"/>
        </a:ln>
      </xdr:spPr>
    </xdr:pic>
    <xdr:clientData/>
  </xdr:twoCellAnchor>
  <xdr:twoCellAnchor>
    <xdr:from>
      <xdr:col>35</xdr:col>
      <xdr:colOff>0</xdr:colOff>
      <xdr:row>50</xdr:row>
      <xdr:rowOff>0</xdr:rowOff>
    </xdr:from>
    <xdr:to>
      <xdr:col>35</xdr:col>
      <xdr:colOff>645777</xdr:colOff>
      <xdr:row>50</xdr:row>
      <xdr:rowOff>571725</xdr:rowOff>
    </xdr:to>
    <xdr:pic>
      <xdr:nvPicPr>
        <xdr:cNvPr id="111" name="Image 110" descr="Picture"/>
        <xdr:cNvPicPr/>
      </xdr:nvPicPr>
      <xdr:blipFill>
        <a:blip r:embed="rId39" cstate="print"/>
        <a:stretch>
          <a:fillRect/>
        </a:stretch>
      </xdr:blipFill>
      <xdr:spPr>
        <a:xfrm>
          <a:off x="30947360" y="1905000"/>
          <a:ext cx="645160" cy="571500"/>
        </a:xfrm>
        <a:prstGeom prst="rect">
          <a:avLst/>
        </a:prstGeom>
        <a:ln>
          <a:prstDash val="solid"/>
        </a:ln>
      </xdr:spPr>
    </xdr:pic>
    <xdr:clientData/>
  </xdr:twoCellAnchor>
  <xdr:twoCellAnchor>
    <xdr:from>
      <xdr:col>37</xdr:col>
      <xdr:colOff>0</xdr:colOff>
      <xdr:row>50</xdr:row>
      <xdr:rowOff>0</xdr:rowOff>
    </xdr:from>
    <xdr:to>
      <xdr:col>37</xdr:col>
      <xdr:colOff>645777</xdr:colOff>
      <xdr:row>50</xdr:row>
      <xdr:rowOff>571725</xdr:rowOff>
    </xdr:to>
    <xdr:pic>
      <xdr:nvPicPr>
        <xdr:cNvPr id="112" name="Image 111" descr="Picture"/>
        <xdr:cNvPicPr/>
      </xdr:nvPicPr>
      <xdr:blipFill>
        <a:blip r:embed="rId40" cstate="print"/>
        <a:stretch>
          <a:fillRect/>
        </a:stretch>
      </xdr:blipFill>
      <xdr:spPr>
        <a:xfrm>
          <a:off x="32318960" y="1905000"/>
          <a:ext cx="645160" cy="571500"/>
        </a:xfrm>
        <a:prstGeom prst="rect">
          <a:avLst/>
        </a:prstGeom>
        <a:ln>
          <a:prstDash val="solid"/>
        </a:ln>
      </xdr:spPr>
    </xdr:pic>
    <xdr:clientData/>
  </xdr:twoCellAnchor>
  <xdr:twoCellAnchor>
    <xdr:from>
      <xdr:col>39</xdr:col>
      <xdr:colOff>0</xdr:colOff>
      <xdr:row>50</xdr:row>
      <xdr:rowOff>0</xdr:rowOff>
    </xdr:from>
    <xdr:to>
      <xdr:col>39</xdr:col>
      <xdr:colOff>645777</xdr:colOff>
      <xdr:row>50</xdr:row>
      <xdr:rowOff>571725</xdr:rowOff>
    </xdr:to>
    <xdr:pic>
      <xdr:nvPicPr>
        <xdr:cNvPr id="113" name="Image 112" descr="Picture"/>
        <xdr:cNvPicPr/>
      </xdr:nvPicPr>
      <xdr:blipFill>
        <a:blip r:embed="rId41" cstate="print"/>
        <a:stretch>
          <a:fillRect/>
        </a:stretch>
      </xdr:blipFill>
      <xdr:spPr>
        <a:xfrm>
          <a:off x="33690560" y="1905000"/>
          <a:ext cx="645160" cy="571500"/>
        </a:xfrm>
        <a:prstGeom prst="rect">
          <a:avLst/>
        </a:prstGeom>
        <a:ln>
          <a:prstDash val="solid"/>
        </a:ln>
      </xdr:spPr>
    </xdr:pic>
    <xdr:clientData/>
  </xdr:twoCellAnchor>
  <xdr:twoCellAnchor>
    <xdr:from>
      <xdr:col>41</xdr:col>
      <xdr:colOff>0</xdr:colOff>
      <xdr:row>50</xdr:row>
      <xdr:rowOff>0</xdr:rowOff>
    </xdr:from>
    <xdr:to>
      <xdr:col>41</xdr:col>
      <xdr:colOff>645777</xdr:colOff>
      <xdr:row>50</xdr:row>
      <xdr:rowOff>571725</xdr:rowOff>
    </xdr:to>
    <xdr:pic>
      <xdr:nvPicPr>
        <xdr:cNvPr id="114" name="Image 113" descr="Picture"/>
        <xdr:cNvPicPr/>
      </xdr:nvPicPr>
      <xdr:blipFill>
        <a:blip r:embed="rId42" cstate="print"/>
        <a:stretch>
          <a:fillRect/>
        </a:stretch>
      </xdr:blipFill>
      <xdr:spPr>
        <a:xfrm>
          <a:off x="35062160" y="1905000"/>
          <a:ext cx="645160" cy="571500"/>
        </a:xfrm>
        <a:prstGeom prst="rect">
          <a:avLst/>
        </a:prstGeom>
        <a:ln>
          <a:prstDash val="solid"/>
        </a:ln>
      </xdr:spPr>
    </xdr:pic>
    <xdr:clientData/>
  </xdr:twoCellAnchor>
  <xdr:twoCellAnchor>
    <xdr:from>
      <xdr:col>7</xdr:col>
      <xdr:colOff>0</xdr:colOff>
      <xdr:row>51</xdr:row>
      <xdr:rowOff>0</xdr:rowOff>
    </xdr:from>
    <xdr:to>
      <xdr:col>7</xdr:col>
      <xdr:colOff>645777</xdr:colOff>
      <xdr:row>51</xdr:row>
      <xdr:rowOff>571725</xdr:rowOff>
    </xdr:to>
    <xdr:pic>
      <xdr:nvPicPr>
        <xdr:cNvPr id="115" name="Image 114" descr="Picture"/>
        <xdr:cNvPicPr/>
      </xdr:nvPicPr>
      <xdr:blipFill>
        <a:blip r:embed="rId43" cstate="print"/>
        <a:stretch>
          <a:fillRect/>
        </a:stretch>
      </xdr:blipFill>
      <xdr:spPr>
        <a:xfrm>
          <a:off x="11277600" y="2540000"/>
          <a:ext cx="645160" cy="0"/>
        </a:xfrm>
        <a:prstGeom prst="rect">
          <a:avLst/>
        </a:prstGeom>
        <a:ln>
          <a:prstDash val="solid"/>
        </a:ln>
      </xdr:spPr>
    </xdr:pic>
    <xdr:clientData/>
  </xdr:twoCellAnchor>
  <xdr:twoCellAnchor>
    <xdr:from>
      <xdr:col>25</xdr:col>
      <xdr:colOff>0</xdr:colOff>
      <xdr:row>51</xdr:row>
      <xdr:rowOff>0</xdr:rowOff>
    </xdr:from>
    <xdr:to>
      <xdr:col>25</xdr:col>
      <xdr:colOff>645777</xdr:colOff>
      <xdr:row>51</xdr:row>
      <xdr:rowOff>571725</xdr:rowOff>
    </xdr:to>
    <xdr:pic>
      <xdr:nvPicPr>
        <xdr:cNvPr id="116" name="Image 115" descr="Picture"/>
        <xdr:cNvPicPr/>
      </xdr:nvPicPr>
      <xdr:blipFill>
        <a:blip r:embed="rId43" cstate="print"/>
        <a:stretch>
          <a:fillRect/>
        </a:stretch>
      </xdr:blipFill>
      <xdr:spPr>
        <a:xfrm>
          <a:off x="24030940" y="2540000"/>
          <a:ext cx="645160" cy="0"/>
        </a:xfrm>
        <a:prstGeom prst="rect">
          <a:avLst/>
        </a:prstGeom>
        <a:ln>
          <a:prstDash val="solid"/>
        </a:ln>
      </xdr:spPr>
    </xdr:pic>
    <xdr:clientData/>
  </xdr:twoCellAnchor>
  <xdr:twoCellAnchor>
    <xdr:from>
      <xdr:col>27</xdr:col>
      <xdr:colOff>0</xdr:colOff>
      <xdr:row>51</xdr:row>
      <xdr:rowOff>0</xdr:rowOff>
    </xdr:from>
    <xdr:to>
      <xdr:col>27</xdr:col>
      <xdr:colOff>645777</xdr:colOff>
      <xdr:row>51</xdr:row>
      <xdr:rowOff>571725</xdr:rowOff>
    </xdr:to>
    <xdr:pic>
      <xdr:nvPicPr>
        <xdr:cNvPr id="117" name="Image 116" descr="Picture"/>
        <xdr:cNvPicPr/>
      </xdr:nvPicPr>
      <xdr:blipFill>
        <a:blip r:embed="rId35" cstate="print"/>
        <a:stretch>
          <a:fillRect/>
        </a:stretch>
      </xdr:blipFill>
      <xdr:spPr>
        <a:xfrm>
          <a:off x="25460960" y="2540000"/>
          <a:ext cx="645160" cy="0"/>
        </a:xfrm>
        <a:prstGeom prst="rect">
          <a:avLst/>
        </a:prstGeom>
        <a:ln>
          <a:prstDash val="solid"/>
        </a:ln>
      </xdr:spPr>
    </xdr:pic>
    <xdr:clientData/>
  </xdr:twoCellAnchor>
  <xdr:twoCellAnchor>
    <xdr:from>
      <xdr:col>29</xdr:col>
      <xdr:colOff>0</xdr:colOff>
      <xdr:row>51</xdr:row>
      <xdr:rowOff>0</xdr:rowOff>
    </xdr:from>
    <xdr:to>
      <xdr:col>29</xdr:col>
      <xdr:colOff>645777</xdr:colOff>
      <xdr:row>51</xdr:row>
      <xdr:rowOff>571725</xdr:rowOff>
    </xdr:to>
    <xdr:pic>
      <xdr:nvPicPr>
        <xdr:cNvPr id="118" name="Image 117" descr="Picture"/>
        <xdr:cNvPicPr/>
      </xdr:nvPicPr>
      <xdr:blipFill>
        <a:blip r:embed="rId34" cstate="print"/>
        <a:stretch>
          <a:fillRect/>
        </a:stretch>
      </xdr:blipFill>
      <xdr:spPr>
        <a:xfrm>
          <a:off x="26832560" y="2540000"/>
          <a:ext cx="645160" cy="0"/>
        </a:xfrm>
        <a:prstGeom prst="rect">
          <a:avLst/>
        </a:prstGeom>
        <a:ln>
          <a:prstDash val="solid"/>
        </a:ln>
      </xdr:spPr>
    </xdr:pic>
    <xdr:clientData/>
  </xdr:twoCellAnchor>
  <xdr:twoCellAnchor>
    <xdr:from>
      <xdr:col>31</xdr:col>
      <xdr:colOff>0</xdr:colOff>
      <xdr:row>51</xdr:row>
      <xdr:rowOff>0</xdr:rowOff>
    </xdr:from>
    <xdr:to>
      <xdr:col>31</xdr:col>
      <xdr:colOff>645777</xdr:colOff>
      <xdr:row>51</xdr:row>
      <xdr:rowOff>571725</xdr:rowOff>
    </xdr:to>
    <xdr:pic>
      <xdr:nvPicPr>
        <xdr:cNvPr id="119" name="Image 118" descr="Picture"/>
        <xdr:cNvPicPr/>
      </xdr:nvPicPr>
      <xdr:blipFill>
        <a:blip r:embed="rId36" cstate="print"/>
        <a:stretch>
          <a:fillRect/>
        </a:stretch>
      </xdr:blipFill>
      <xdr:spPr>
        <a:xfrm>
          <a:off x="28204160" y="2540000"/>
          <a:ext cx="645160" cy="0"/>
        </a:xfrm>
        <a:prstGeom prst="rect">
          <a:avLst/>
        </a:prstGeom>
        <a:ln>
          <a:prstDash val="solid"/>
        </a:ln>
      </xdr:spPr>
    </xdr:pic>
    <xdr:clientData/>
  </xdr:twoCellAnchor>
  <xdr:twoCellAnchor>
    <xdr:from>
      <xdr:col>33</xdr:col>
      <xdr:colOff>0</xdr:colOff>
      <xdr:row>51</xdr:row>
      <xdr:rowOff>0</xdr:rowOff>
    </xdr:from>
    <xdr:to>
      <xdr:col>33</xdr:col>
      <xdr:colOff>645777</xdr:colOff>
      <xdr:row>51</xdr:row>
      <xdr:rowOff>571725</xdr:rowOff>
    </xdr:to>
    <xdr:pic>
      <xdr:nvPicPr>
        <xdr:cNvPr id="120" name="Image 119" descr="Picture"/>
        <xdr:cNvPicPr/>
      </xdr:nvPicPr>
      <xdr:blipFill>
        <a:blip r:embed="rId37" cstate="print"/>
        <a:stretch>
          <a:fillRect/>
        </a:stretch>
      </xdr:blipFill>
      <xdr:spPr>
        <a:xfrm>
          <a:off x="29575760" y="2540000"/>
          <a:ext cx="645160" cy="0"/>
        </a:xfrm>
        <a:prstGeom prst="rect">
          <a:avLst/>
        </a:prstGeom>
        <a:ln>
          <a:prstDash val="solid"/>
        </a:ln>
      </xdr:spPr>
    </xdr:pic>
    <xdr:clientData/>
  </xdr:twoCellAnchor>
  <xdr:twoCellAnchor>
    <xdr:from>
      <xdr:col>35</xdr:col>
      <xdr:colOff>0</xdr:colOff>
      <xdr:row>51</xdr:row>
      <xdr:rowOff>0</xdr:rowOff>
    </xdr:from>
    <xdr:to>
      <xdr:col>35</xdr:col>
      <xdr:colOff>645777</xdr:colOff>
      <xdr:row>51</xdr:row>
      <xdr:rowOff>571725</xdr:rowOff>
    </xdr:to>
    <xdr:pic>
      <xdr:nvPicPr>
        <xdr:cNvPr id="121" name="Image 120" descr="Picture"/>
        <xdr:cNvPicPr/>
      </xdr:nvPicPr>
      <xdr:blipFill>
        <a:blip r:embed="rId38" cstate="print"/>
        <a:stretch>
          <a:fillRect/>
        </a:stretch>
      </xdr:blipFill>
      <xdr:spPr>
        <a:xfrm>
          <a:off x="30947360" y="2540000"/>
          <a:ext cx="645160" cy="0"/>
        </a:xfrm>
        <a:prstGeom prst="rect">
          <a:avLst/>
        </a:prstGeom>
        <a:ln>
          <a:prstDash val="solid"/>
        </a:ln>
      </xdr:spPr>
    </xdr:pic>
    <xdr:clientData/>
  </xdr:twoCellAnchor>
  <xdr:twoCellAnchor>
    <xdr:from>
      <xdr:col>37</xdr:col>
      <xdr:colOff>0</xdr:colOff>
      <xdr:row>51</xdr:row>
      <xdr:rowOff>0</xdr:rowOff>
    </xdr:from>
    <xdr:to>
      <xdr:col>37</xdr:col>
      <xdr:colOff>645777</xdr:colOff>
      <xdr:row>51</xdr:row>
      <xdr:rowOff>571725</xdr:rowOff>
    </xdr:to>
    <xdr:pic>
      <xdr:nvPicPr>
        <xdr:cNvPr id="122" name="Image 121" descr="Picture"/>
        <xdr:cNvPicPr/>
      </xdr:nvPicPr>
      <xdr:blipFill>
        <a:blip r:embed="rId39" cstate="print"/>
        <a:stretch>
          <a:fillRect/>
        </a:stretch>
      </xdr:blipFill>
      <xdr:spPr>
        <a:xfrm>
          <a:off x="32318960" y="2540000"/>
          <a:ext cx="645160" cy="0"/>
        </a:xfrm>
        <a:prstGeom prst="rect">
          <a:avLst/>
        </a:prstGeom>
        <a:ln>
          <a:prstDash val="solid"/>
        </a:ln>
      </xdr:spPr>
    </xdr:pic>
    <xdr:clientData/>
  </xdr:twoCellAnchor>
  <xdr:twoCellAnchor>
    <xdr:from>
      <xdr:col>39</xdr:col>
      <xdr:colOff>0</xdr:colOff>
      <xdr:row>51</xdr:row>
      <xdr:rowOff>0</xdr:rowOff>
    </xdr:from>
    <xdr:to>
      <xdr:col>39</xdr:col>
      <xdr:colOff>645777</xdr:colOff>
      <xdr:row>51</xdr:row>
      <xdr:rowOff>571725</xdr:rowOff>
    </xdr:to>
    <xdr:pic>
      <xdr:nvPicPr>
        <xdr:cNvPr id="123" name="Image 122" descr="Picture"/>
        <xdr:cNvPicPr/>
      </xdr:nvPicPr>
      <xdr:blipFill>
        <a:blip r:embed="rId40" cstate="print"/>
        <a:stretch>
          <a:fillRect/>
        </a:stretch>
      </xdr:blipFill>
      <xdr:spPr>
        <a:xfrm>
          <a:off x="33690560" y="2540000"/>
          <a:ext cx="645160" cy="0"/>
        </a:xfrm>
        <a:prstGeom prst="rect">
          <a:avLst/>
        </a:prstGeom>
        <a:ln>
          <a:prstDash val="solid"/>
        </a:ln>
      </xdr:spPr>
    </xdr:pic>
    <xdr:clientData/>
  </xdr:twoCellAnchor>
  <xdr:twoCellAnchor>
    <xdr:from>
      <xdr:col>41</xdr:col>
      <xdr:colOff>0</xdr:colOff>
      <xdr:row>51</xdr:row>
      <xdr:rowOff>0</xdr:rowOff>
    </xdr:from>
    <xdr:to>
      <xdr:col>41</xdr:col>
      <xdr:colOff>645777</xdr:colOff>
      <xdr:row>51</xdr:row>
      <xdr:rowOff>571725</xdr:rowOff>
    </xdr:to>
    <xdr:pic>
      <xdr:nvPicPr>
        <xdr:cNvPr id="124" name="Image 123" descr="Picture"/>
        <xdr:cNvPicPr/>
      </xdr:nvPicPr>
      <xdr:blipFill>
        <a:blip r:embed="rId44" cstate="print"/>
        <a:stretch>
          <a:fillRect/>
        </a:stretch>
      </xdr:blipFill>
      <xdr:spPr>
        <a:xfrm>
          <a:off x="35062160" y="2540000"/>
          <a:ext cx="645160" cy="0"/>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BH55"/>
  <sheetViews>
    <sheetView tabSelected="1" workbookViewId="0">
      <selection activeCell="I1" sqref="I1:I51"/>
    </sheetView>
  </sheetViews>
  <sheetFormatPr defaultColWidth="9" defaultRowHeight="13.5"/>
  <cols>
    <col min="1" max="3" width="17.75" customWidth="1"/>
    <col min="4" max="4" width="39.75" customWidth="1"/>
    <col min="5" max="5" width="37" customWidth="1"/>
    <col min="10" max="10" width="9.76666666666667" customWidth="1"/>
    <col min="14" max="14" width="9.76666666666667" customWidth="1"/>
    <col min="16" max="16" width="9.76666666666667" customWidth="1"/>
    <col min="18" max="18" width="9.76666666666667" customWidth="1"/>
    <col min="20" max="20" width="9.76666666666667" customWidth="1"/>
    <col min="22" max="22" width="9.76666666666667" customWidth="1"/>
    <col min="24" max="24" width="9.76666666666667" customWidth="1"/>
    <col min="26" max="26" width="9.76666666666667" customWidth="1"/>
    <col min="50" max="56" width="9" style="2"/>
    <col min="59" max="60" width="9" style="2"/>
  </cols>
  <sheetData>
    <row r="1" ht="50" customHeight="1" spans="1:60">
      <c r="A1" s="3" t="s">
        <v>0</v>
      </c>
      <c r="B1" s="2" t="s">
        <v>1</v>
      </c>
      <c r="C1" s="2" t="s">
        <v>1</v>
      </c>
      <c r="D1" s="4" t="s">
        <v>2</v>
      </c>
      <c r="E1" s="4" t="s">
        <v>3</v>
      </c>
      <c r="F1" s="4">
        <f t="shared" ref="F1:F64" si="0">LEN(D1)</f>
        <v>58</v>
      </c>
      <c r="H1" s="4"/>
      <c r="I1" s="4" t="s">
        <v>4</v>
      </c>
      <c r="J1" s="4" t="s">
        <v>5</v>
      </c>
      <c r="K1" s="2"/>
      <c r="L1" s="2"/>
      <c r="M1" s="4" t="s">
        <v>6</v>
      </c>
      <c r="N1" s="4" t="s">
        <v>7</v>
      </c>
      <c r="O1" s="4"/>
      <c r="P1" s="4" t="s">
        <v>8</v>
      </c>
      <c r="Q1" s="4" t="s">
        <v>9</v>
      </c>
      <c r="R1" s="4" t="s">
        <v>10</v>
      </c>
      <c r="S1" s="4" t="s">
        <v>11</v>
      </c>
      <c r="T1" s="4" t="s">
        <v>12</v>
      </c>
      <c r="U1" s="4" t="s">
        <v>13</v>
      </c>
      <c r="V1" s="4" t="s">
        <v>14</v>
      </c>
      <c r="W1" s="4" t="s">
        <v>15</v>
      </c>
      <c r="X1" s="4" t="s">
        <v>16</v>
      </c>
      <c r="Y1" s="4" t="s">
        <v>17</v>
      </c>
      <c r="Z1" s="4"/>
      <c r="AA1" s="4" t="s">
        <v>8</v>
      </c>
      <c r="AB1" s="4"/>
      <c r="AC1" s="4" t="s">
        <v>9</v>
      </c>
      <c r="AD1" s="4"/>
      <c r="AE1" s="4" t="s">
        <v>10</v>
      </c>
      <c r="AF1" s="4"/>
      <c r="AG1" s="4" t="s">
        <v>11</v>
      </c>
      <c r="AH1" s="4"/>
      <c r="AI1" s="4" t="s">
        <v>12</v>
      </c>
      <c r="AJ1" s="4"/>
      <c r="AK1" s="4" t="s">
        <v>13</v>
      </c>
      <c r="AL1" s="4"/>
      <c r="AM1" s="4" t="s">
        <v>14</v>
      </c>
      <c r="AN1" s="4"/>
      <c r="AO1" s="4" t="s">
        <v>15</v>
      </c>
      <c r="AP1" s="4"/>
      <c r="AQ1" s="4" t="s">
        <v>16</v>
      </c>
      <c r="AR1" s="4" t="s">
        <v>18</v>
      </c>
      <c r="AS1" s="4" t="s">
        <v>6</v>
      </c>
      <c r="AT1" s="4">
        <v>26.66</v>
      </c>
      <c r="AU1" s="4">
        <v>31.99</v>
      </c>
      <c r="AV1" s="4">
        <v>24.01</v>
      </c>
      <c r="AW1" s="4">
        <v>32.01</v>
      </c>
      <c r="AX1" s="2" t="s">
        <v>19</v>
      </c>
      <c r="AY1" s="2" t="s">
        <v>20</v>
      </c>
      <c r="AZ1" s="2" t="s">
        <v>21</v>
      </c>
      <c r="BA1" s="2" t="s">
        <v>22</v>
      </c>
      <c r="BB1" s="2" t="s">
        <v>23</v>
      </c>
      <c r="BC1" s="2" t="s">
        <v>24</v>
      </c>
      <c r="BD1" s="2" t="s">
        <v>25</v>
      </c>
      <c r="BG1" s="2" t="s">
        <v>26</v>
      </c>
      <c r="BH1" s="2" t="s">
        <v>27</v>
      </c>
    </row>
    <row r="2" ht="50" hidden="1" customHeight="1" spans="1:60">
      <c r="A2" s="4" t="s">
        <v>28</v>
      </c>
      <c r="B2" s="2" t="s">
        <v>29</v>
      </c>
      <c r="C2" s="2" t="str">
        <f t="shared" ref="C2:C36" si="1">C1</f>
        <v>Es07Qsbfzhad5wJp</v>
      </c>
      <c r="D2" s="4" t="str">
        <f t="shared" ref="D2:D36" si="2">D1</f>
        <v>Jupe Gothique Femme Longueur Cheville Taille Haute Volants</v>
      </c>
      <c r="E2" s="4" t="str">
        <f t="shared" ref="E2:E36" si="3">E1</f>
        <v>Jacquard Texturé Œillets Métalliques Laçage Croisé Taille Haute Longueur Cheville Volants Multicouches Jupe Gothique</v>
      </c>
      <c r="F2" s="4">
        <f t="shared" si="0"/>
        <v>58</v>
      </c>
      <c r="H2" s="4"/>
      <c r="I2" s="4" t="s">
        <v>30</v>
      </c>
      <c r="J2" s="4" t="s">
        <v>31</v>
      </c>
      <c r="K2" s="2" t="s">
        <v>32</v>
      </c>
      <c r="L2" s="2" t="s">
        <v>33</v>
      </c>
      <c r="M2" s="4" t="s">
        <v>6</v>
      </c>
      <c r="N2" s="4" t="s">
        <v>7</v>
      </c>
      <c r="O2" s="4"/>
      <c r="P2" s="4" t="s">
        <v>34</v>
      </c>
      <c r="Q2" s="4" t="s">
        <v>35</v>
      </c>
      <c r="R2" s="4" t="s">
        <v>36</v>
      </c>
      <c r="S2" s="4" t="s">
        <v>37</v>
      </c>
      <c r="T2" s="4"/>
      <c r="U2" s="4"/>
      <c r="V2" s="4"/>
      <c r="W2" s="4"/>
      <c r="X2" s="4"/>
      <c r="Y2" s="4" t="s">
        <v>17</v>
      </c>
      <c r="Z2" s="4"/>
      <c r="AA2" s="4" t="s">
        <v>34</v>
      </c>
      <c r="AB2" s="4"/>
      <c r="AC2" s="4" t="s">
        <v>35</v>
      </c>
      <c r="AD2" s="4"/>
      <c r="AE2" s="4" t="s">
        <v>36</v>
      </c>
      <c r="AF2" s="4"/>
      <c r="AG2" s="4" t="s">
        <v>37</v>
      </c>
      <c r="AH2" s="4"/>
      <c r="AI2" s="4"/>
      <c r="AJ2" s="4"/>
      <c r="AK2" s="4"/>
      <c r="AL2" s="4"/>
      <c r="AM2" s="4"/>
      <c r="AN2" s="4"/>
      <c r="AO2" s="4"/>
      <c r="AP2" s="4"/>
      <c r="AQ2" s="4"/>
      <c r="AR2" s="4" t="s">
        <v>18</v>
      </c>
      <c r="AS2" s="4" t="s">
        <v>6</v>
      </c>
      <c r="AT2" s="4">
        <v>26.66</v>
      </c>
      <c r="AU2" s="4">
        <v>31.99</v>
      </c>
      <c r="AV2" s="4">
        <v>24.01</v>
      </c>
      <c r="AW2" s="4">
        <v>32.01</v>
      </c>
      <c r="AX2" s="2" t="str">
        <f t="shared" ref="AX2:AX36" si="4">AX1</f>
        <v>Encolure dégagée</v>
      </c>
      <c r="AY2" s="2" t="str">
        <f t="shared" ref="AY2:AY36" si="5">AY1</f>
        <v>Sans col</v>
      </c>
      <c r="AZ2" s="2" t="str">
        <f t="shared" ref="AZ2:AZ36" si="6">AZ1</f>
        <v>Style et occasions : robe femme polyvalente idéale pour fêtes costumées, soirées à thème, Oktoberfest, Halloween et cosplay, tout en restant élégante pour des sorties décontractées ou des événements festifs variés.</v>
      </c>
      <c r="BA2" s="2" t="str">
        <f t="shared" ref="BA2:BA36" si="7">BA1</f>
        <v>Matières et confort : confectionnée dans des matières douces comme le velours, la dentelle ou le satin, offrant un port agréable, un toucher délicat et une grande aisance de mouvement tout au long de la journée.</v>
      </c>
      <c r="BB2" s="2" t="str">
        <f t="shared" ref="BB2:BB36" si="8">BB1</f>
        <v>Coupe et silhouette : coupe A évasée et taille haute qui mettent la silhouette en valeur avec élégance, soulignant la taille et apportant une allure gracieuse et féminine en toute circonstance.</v>
      </c>
      <c r="BC2" s="2" t="str">
        <f t="shared" ref="BC2:BC36" si="9">BC1</f>
        <v>Finitions et détails : finitions soignées avec volants, laçage croisé, nœud et tablier pour un style raffiné, romantique et festif qui attire les regards et donne du caractère à la tenue.</v>
      </c>
      <c r="BD2" s="2" t="str">
        <f t="shared" ref="BD2:BD36" si="10">BD1</f>
        <v>Polyvalence et conseil : s’associe aussi bien aux tenues décontractées qu’aux costumes de scène et de spectacle ; avant l’achat, veuillez consulter le guide des tailles pour un ajustement parfait.</v>
      </c>
      <c r="BG2" s="2" t="str">
        <f t="shared" ref="BG2:BG36" si="11">BG1</f>
        <v>Manche épaule dénudée</v>
      </c>
      <c r="BH2" s="2" t="str">
        <f t="shared" ref="BH2:BH36" si="12">BH1</f>
        <v>Cordon de serrage</v>
      </c>
    </row>
    <row r="3" ht="50" hidden="1" customHeight="1" spans="1:60">
      <c r="A3" s="4" t="s">
        <v>38</v>
      </c>
      <c r="B3" s="2" t="s">
        <v>39</v>
      </c>
      <c r="C3" s="2" t="str">
        <f t="shared" si="1"/>
        <v>Es07Qsbfzhad5wJp</v>
      </c>
      <c r="D3" s="4" t="str">
        <f t="shared" si="2"/>
        <v>Jupe Gothique Femme Longueur Cheville Taille Haute Volants</v>
      </c>
      <c r="E3" s="4" t="str">
        <f t="shared" si="3"/>
        <v>Jacquard Texturé Œillets Métalliques Laçage Croisé Taille Haute Longueur Cheville Volants Multicouches Jupe Gothique</v>
      </c>
      <c r="F3" s="4">
        <f t="shared" si="0"/>
        <v>58</v>
      </c>
      <c r="H3" s="4"/>
      <c r="I3" s="4" t="s">
        <v>40</v>
      </c>
      <c r="J3" s="4" t="s">
        <v>31</v>
      </c>
      <c r="K3" s="2" t="s">
        <v>32</v>
      </c>
      <c r="L3" s="2" t="s">
        <v>41</v>
      </c>
      <c r="M3" s="4" t="s">
        <v>6</v>
      </c>
      <c r="N3" s="4" t="s">
        <v>7</v>
      </c>
      <c r="O3" s="4"/>
      <c r="P3" s="4" t="s">
        <v>42</v>
      </c>
      <c r="Q3" s="4" t="s">
        <v>43</v>
      </c>
      <c r="R3" s="4" t="s">
        <v>44</v>
      </c>
      <c r="S3" s="4" t="s">
        <v>45</v>
      </c>
      <c r="T3" s="4"/>
      <c r="U3" s="4"/>
      <c r="V3" s="4"/>
      <c r="W3" s="4"/>
      <c r="X3" s="4"/>
      <c r="Y3" s="4" t="s">
        <v>17</v>
      </c>
      <c r="Z3" s="4"/>
      <c r="AA3" s="4" t="s">
        <v>42</v>
      </c>
      <c r="AB3" s="4"/>
      <c r="AC3" s="4" t="s">
        <v>43</v>
      </c>
      <c r="AD3" s="4"/>
      <c r="AE3" s="4" t="s">
        <v>44</v>
      </c>
      <c r="AF3" s="4"/>
      <c r="AG3" s="4" t="s">
        <v>45</v>
      </c>
      <c r="AH3" s="4"/>
      <c r="AI3" s="4"/>
      <c r="AJ3" s="4"/>
      <c r="AK3" s="4"/>
      <c r="AL3" s="4"/>
      <c r="AM3" s="4"/>
      <c r="AN3" s="4"/>
      <c r="AO3" s="4"/>
      <c r="AP3" s="4"/>
      <c r="AQ3" s="4"/>
      <c r="AR3" s="4" t="s">
        <v>18</v>
      </c>
      <c r="AS3" s="4" t="s">
        <v>6</v>
      </c>
      <c r="AT3" s="4">
        <v>26.66</v>
      </c>
      <c r="AU3" s="4">
        <v>31.99</v>
      </c>
      <c r="AV3" s="4">
        <v>24.01</v>
      </c>
      <c r="AW3" s="4">
        <v>32.01</v>
      </c>
      <c r="AX3" s="2" t="str">
        <f t="shared" si="4"/>
        <v>Encolure dégagée</v>
      </c>
      <c r="AY3" s="2" t="str">
        <f t="shared" si="5"/>
        <v>Sans col</v>
      </c>
      <c r="AZ3" s="2" t="str">
        <f t="shared" si="6"/>
        <v>Style et occasions : robe femme polyvalente idéale pour fêtes costumées, soirées à thème, Oktoberfest, Halloween et cosplay, tout en restant élégante pour des sorties décontractées ou des événements festifs variés.</v>
      </c>
      <c r="BA3" s="2" t="str">
        <f t="shared" si="7"/>
        <v>Matières et confort : confectionnée dans des matières douces comme le velours, la dentelle ou le satin, offrant un port agréable, un toucher délicat et une grande aisance de mouvement tout au long de la journée.</v>
      </c>
      <c r="BB3" s="2" t="str">
        <f t="shared" si="8"/>
        <v>Coupe et silhouette : coupe A évasée et taille haute qui mettent la silhouette en valeur avec élégance, soulignant la taille et apportant une allure gracieuse et féminine en toute circonstance.</v>
      </c>
      <c r="BC3" s="2" t="str">
        <f t="shared" si="9"/>
        <v>Finitions et détails : finitions soignées avec volants, laçage croisé, nœud et tablier pour un style raffiné, romantique et festif qui attire les regards et donne du caractère à la tenue.</v>
      </c>
      <c r="BD3" s="2" t="str">
        <f t="shared" si="10"/>
        <v>Polyvalence et conseil : s’associe aussi bien aux tenues décontractées qu’aux costumes de scène et de spectacle ; avant l’achat, veuillez consulter le guide des tailles pour un ajustement parfait.</v>
      </c>
      <c r="BG3" s="2" t="str">
        <f t="shared" si="11"/>
        <v>Manche épaule dénudée</v>
      </c>
      <c r="BH3" s="2" t="str">
        <f t="shared" si="12"/>
        <v>Cordon de serrage</v>
      </c>
    </row>
    <row r="4" ht="50" hidden="1" customHeight="1" spans="1:60">
      <c r="A4" s="4" t="s">
        <v>46</v>
      </c>
      <c r="B4" s="2" t="s">
        <v>47</v>
      </c>
      <c r="C4" s="2" t="str">
        <f t="shared" si="1"/>
        <v>Es07Qsbfzhad5wJp</v>
      </c>
      <c r="D4" s="4" t="str">
        <f t="shared" si="2"/>
        <v>Jupe Gothique Femme Longueur Cheville Taille Haute Volants</v>
      </c>
      <c r="E4" s="4" t="str">
        <f t="shared" si="3"/>
        <v>Jacquard Texturé Œillets Métalliques Laçage Croisé Taille Haute Longueur Cheville Volants Multicouches Jupe Gothique</v>
      </c>
      <c r="F4" s="4">
        <f t="shared" si="0"/>
        <v>58</v>
      </c>
      <c r="H4" s="4"/>
      <c r="I4" s="4" t="s">
        <v>48</v>
      </c>
      <c r="J4" s="4" t="s">
        <v>31</v>
      </c>
      <c r="K4" s="2" t="s">
        <v>32</v>
      </c>
      <c r="L4" s="2" t="s">
        <v>49</v>
      </c>
      <c r="M4" s="4" t="s">
        <v>6</v>
      </c>
      <c r="N4" s="4" t="s">
        <v>7</v>
      </c>
      <c r="O4" s="4"/>
      <c r="P4" s="4" t="s">
        <v>50</v>
      </c>
      <c r="Q4" s="4" t="s">
        <v>51</v>
      </c>
      <c r="R4" s="4" t="s">
        <v>52</v>
      </c>
      <c r="S4" s="4" t="s">
        <v>53</v>
      </c>
      <c r="T4" s="4"/>
      <c r="U4" s="4"/>
      <c r="V4" s="4"/>
      <c r="W4" s="4"/>
      <c r="X4" s="4"/>
      <c r="Y4" s="4" t="s">
        <v>17</v>
      </c>
      <c r="Z4" s="4"/>
      <c r="AA4" s="4" t="s">
        <v>50</v>
      </c>
      <c r="AB4" s="4"/>
      <c r="AC4" s="4" t="s">
        <v>51</v>
      </c>
      <c r="AD4" s="4"/>
      <c r="AE4" s="4" t="s">
        <v>52</v>
      </c>
      <c r="AF4" s="4"/>
      <c r="AG4" s="4" t="s">
        <v>53</v>
      </c>
      <c r="AH4" s="4"/>
      <c r="AI4" s="4"/>
      <c r="AJ4" s="4"/>
      <c r="AK4" s="4"/>
      <c r="AL4" s="4"/>
      <c r="AM4" s="4"/>
      <c r="AN4" s="4"/>
      <c r="AO4" s="4"/>
      <c r="AP4" s="4"/>
      <c r="AQ4" s="4"/>
      <c r="AR4" s="4" t="s">
        <v>18</v>
      </c>
      <c r="AS4" s="4" t="s">
        <v>6</v>
      </c>
      <c r="AT4" s="4">
        <v>26.66</v>
      </c>
      <c r="AU4" s="4">
        <v>31.99</v>
      </c>
      <c r="AV4" s="4">
        <v>24.01</v>
      </c>
      <c r="AW4" s="4">
        <v>32.01</v>
      </c>
      <c r="AX4" s="2" t="str">
        <f t="shared" si="4"/>
        <v>Encolure dégagée</v>
      </c>
      <c r="AY4" s="2" t="str">
        <f t="shared" si="5"/>
        <v>Sans col</v>
      </c>
      <c r="AZ4" s="2" t="str">
        <f t="shared" si="6"/>
        <v>Style et occasions : robe femme polyvalente idéale pour fêtes costumées, soirées à thème, Oktoberfest, Halloween et cosplay, tout en restant élégante pour des sorties décontractées ou des événements festifs variés.</v>
      </c>
      <c r="BA4" s="2" t="str">
        <f t="shared" si="7"/>
        <v>Matières et confort : confectionnée dans des matières douces comme le velours, la dentelle ou le satin, offrant un port agréable, un toucher délicat et une grande aisance de mouvement tout au long de la journée.</v>
      </c>
      <c r="BB4" s="2" t="str">
        <f t="shared" si="8"/>
        <v>Coupe et silhouette : coupe A évasée et taille haute qui mettent la silhouette en valeur avec élégance, soulignant la taille et apportant une allure gracieuse et féminine en toute circonstance.</v>
      </c>
      <c r="BC4" s="2" t="str">
        <f t="shared" si="9"/>
        <v>Finitions et détails : finitions soignées avec volants, laçage croisé, nœud et tablier pour un style raffiné, romantique et festif qui attire les regards et donne du caractère à la tenue.</v>
      </c>
      <c r="BD4" s="2" t="str">
        <f t="shared" si="10"/>
        <v>Polyvalence et conseil : s’associe aussi bien aux tenues décontractées qu’aux costumes de scène et de spectacle ; avant l’achat, veuillez consulter le guide des tailles pour un ajustement parfait.</v>
      </c>
      <c r="BG4" s="2" t="str">
        <f t="shared" si="11"/>
        <v>Manche épaule dénudée</v>
      </c>
      <c r="BH4" s="2" t="str">
        <f t="shared" si="12"/>
        <v>Cordon de serrage</v>
      </c>
    </row>
    <row r="5" ht="50" hidden="1" customHeight="1" spans="1:60">
      <c r="A5" s="4" t="s">
        <v>54</v>
      </c>
      <c r="B5" s="2" t="s">
        <v>55</v>
      </c>
      <c r="C5" s="2" t="str">
        <f t="shared" si="1"/>
        <v>Es07Qsbfzhad5wJp</v>
      </c>
      <c r="D5" s="4" t="str">
        <f t="shared" si="2"/>
        <v>Jupe Gothique Femme Longueur Cheville Taille Haute Volants</v>
      </c>
      <c r="E5" s="4" t="str">
        <f t="shared" si="3"/>
        <v>Jacquard Texturé Œillets Métalliques Laçage Croisé Taille Haute Longueur Cheville Volants Multicouches Jupe Gothique</v>
      </c>
      <c r="F5" s="4">
        <f t="shared" si="0"/>
        <v>58</v>
      </c>
      <c r="H5" s="4"/>
      <c r="I5" s="4" t="s">
        <v>56</v>
      </c>
      <c r="J5" s="4" t="s">
        <v>31</v>
      </c>
      <c r="K5" s="2" t="s">
        <v>32</v>
      </c>
      <c r="L5" s="2" t="s">
        <v>57</v>
      </c>
      <c r="M5" s="4" t="s">
        <v>6</v>
      </c>
      <c r="N5" s="4" t="s">
        <v>7</v>
      </c>
      <c r="O5" s="4"/>
      <c r="P5" s="4" t="s">
        <v>58</v>
      </c>
      <c r="Q5" s="4" t="s">
        <v>59</v>
      </c>
      <c r="R5" s="4" t="s">
        <v>60</v>
      </c>
      <c r="S5" s="4" t="s">
        <v>61</v>
      </c>
      <c r="T5" s="4"/>
      <c r="U5" s="4"/>
      <c r="V5" s="4"/>
      <c r="W5" s="4"/>
      <c r="X5" s="4"/>
      <c r="Y5" s="4" t="s">
        <v>17</v>
      </c>
      <c r="Z5" s="4"/>
      <c r="AA5" s="4" t="s">
        <v>58</v>
      </c>
      <c r="AB5" s="4"/>
      <c r="AC5" s="4" t="s">
        <v>59</v>
      </c>
      <c r="AD5" s="4"/>
      <c r="AE5" s="4" t="s">
        <v>60</v>
      </c>
      <c r="AF5" s="4"/>
      <c r="AG5" s="4" t="s">
        <v>61</v>
      </c>
      <c r="AH5" s="4"/>
      <c r="AI5" s="4"/>
      <c r="AJ5" s="4"/>
      <c r="AK5" s="4"/>
      <c r="AL5" s="4"/>
      <c r="AM5" s="4"/>
      <c r="AN5" s="4"/>
      <c r="AO5" s="4"/>
      <c r="AP5" s="4"/>
      <c r="AQ5" s="4"/>
      <c r="AR5" s="4" t="s">
        <v>18</v>
      </c>
      <c r="AS5" s="4" t="s">
        <v>6</v>
      </c>
      <c r="AT5" s="4">
        <v>26.66</v>
      </c>
      <c r="AU5" s="4">
        <v>31.99</v>
      </c>
      <c r="AV5" s="4">
        <v>24.01</v>
      </c>
      <c r="AW5" s="4">
        <v>32.01</v>
      </c>
      <c r="AX5" s="2" t="str">
        <f t="shared" si="4"/>
        <v>Encolure dégagée</v>
      </c>
      <c r="AY5" s="2" t="str">
        <f t="shared" si="5"/>
        <v>Sans col</v>
      </c>
      <c r="AZ5" s="2" t="str">
        <f t="shared" si="6"/>
        <v>Style et occasions : robe femme polyvalente idéale pour fêtes costumées, soirées à thème, Oktoberfest, Halloween et cosplay, tout en restant élégante pour des sorties décontractées ou des événements festifs variés.</v>
      </c>
      <c r="BA5" s="2" t="str">
        <f t="shared" si="7"/>
        <v>Matières et confort : confectionnée dans des matières douces comme le velours, la dentelle ou le satin, offrant un port agréable, un toucher délicat et une grande aisance de mouvement tout au long de la journée.</v>
      </c>
      <c r="BB5" s="2" t="str">
        <f t="shared" si="8"/>
        <v>Coupe et silhouette : coupe A évasée et taille haute qui mettent la silhouette en valeur avec élégance, soulignant la taille et apportant une allure gracieuse et féminine en toute circonstance.</v>
      </c>
      <c r="BC5" s="2" t="str">
        <f t="shared" si="9"/>
        <v>Finitions et détails : finitions soignées avec volants, laçage croisé, nœud et tablier pour un style raffiné, romantique et festif qui attire les regards et donne du caractère à la tenue.</v>
      </c>
      <c r="BD5" s="2" t="str">
        <f t="shared" si="10"/>
        <v>Polyvalence et conseil : s’associe aussi bien aux tenues décontractées qu’aux costumes de scène et de spectacle ; avant l’achat, veuillez consulter le guide des tailles pour un ajustement parfait.</v>
      </c>
      <c r="BG5" s="2" t="str">
        <f t="shared" si="11"/>
        <v>Manche épaule dénudée</v>
      </c>
      <c r="BH5" s="2" t="str">
        <f t="shared" si="12"/>
        <v>Cordon de serrage</v>
      </c>
    </row>
    <row r="6" ht="50" hidden="1" customHeight="1" spans="1:60">
      <c r="A6" s="4" t="s">
        <v>62</v>
      </c>
      <c r="B6" s="2" t="s">
        <v>63</v>
      </c>
      <c r="C6" s="2" t="str">
        <f t="shared" si="1"/>
        <v>Es07Qsbfzhad5wJp</v>
      </c>
      <c r="D6" s="4" t="str">
        <f t="shared" si="2"/>
        <v>Jupe Gothique Femme Longueur Cheville Taille Haute Volants</v>
      </c>
      <c r="E6" s="4" t="str">
        <f t="shared" si="3"/>
        <v>Jacquard Texturé Œillets Métalliques Laçage Croisé Taille Haute Longueur Cheville Volants Multicouches Jupe Gothique</v>
      </c>
      <c r="F6" s="4">
        <f t="shared" si="0"/>
        <v>58</v>
      </c>
      <c r="H6" s="4"/>
      <c r="I6" s="4" t="s">
        <v>64</v>
      </c>
      <c r="J6" s="4" t="s">
        <v>31</v>
      </c>
      <c r="K6" s="2" t="s">
        <v>32</v>
      </c>
      <c r="L6" s="2" t="s">
        <v>65</v>
      </c>
      <c r="M6" s="4" t="s">
        <v>6</v>
      </c>
      <c r="N6" s="4" t="s">
        <v>7</v>
      </c>
      <c r="O6" s="4"/>
      <c r="P6" s="4" t="s">
        <v>66</v>
      </c>
      <c r="Q6" s="4" t="s">
        <v>67</v>
      </c>
      <c r="R6" s="4" t="s">
        <v>68</v>
      </c>
      <c r="S6" s="4" t="s">
        <v>69</v>
      </c>
      <c r="T6" s="4"/>
      <c r="U6" s="4"/>
      <c r="V6" s="4"/>
      <c r="W6" s="4"/>
      <c r="X6" s="4"/>
      <c r="Y6" s="4" t="s">
        <v>17</v>
      </c>
      <c r="Z6" s="4"/>
      <c r="AA6" s="4" t="s">
        <v>66</v>
      </c>
      <c r="AB6" s="4"/>
      <c r="AC6" s="4" t="s">
        <v>67</v>
      </c>
      <c r="AD6" s="4"/>
      <c r="AE6" s="4" t="s">
        <v>68</v>
      </c>
      <c r="AF6" s="4"/>
      <c r="AG6" s="4" t="s">
        <v>69</v>
      </c>
      <c r="AH6" s="4"/>
      <c r="AI6" s="4"/>
      <c r="AJ6" s="4"/>
      <c r="AK6" s="4"/>
      <c r="AL6" s="4"/>
      <c r="AM6" s="4"/>
      <c r="AN6" s="4"/>
      <c r="AO6" s="4"/>
      <c r="AP6" s="4"/>
      <c r="AQ6" s="4"/>
      <c r="AR6" s="4" t="s">
        <v>18</v>
      </c>
      <c r="AS6" s="4" t="s">
        <v>6</v>
      </c>
      <c r="AT6" s="4">
        <v>26.66</v>
      </c>
      <c r="AU6" s="4">
        <v>31.99</v>
      </c>
      <c r="AV6" s="4">
        <v>24.01</v>
      </c>
      <c r="AW6" s="4">
        <v>32.01</v>
      </c>
      <c r="AX6" s="2" t="str">
        <f t="shared" si="4"/>
        <v>Encolure dégagée</v>
      </c>
      <c r="AY6" s="2" t="str">
        <f t="shared" si="5"/>
        <v>Sans col</v>
      </c>
      <c r="AZ6" s="2" t="str">
        <f t="shared" si="6"/>
        <v>Style et occasions : robe femme polyvalente idéale pour fêtes costumées, soirées à thème, Oktoberfest, Halloween et cosplay, tout en restant élégante pour des sorties décontractées ou des événements festifs variés.</v>
      </c>
      <c r="BA6" s="2" t="str">
        <f t="shared" si="7"/>
        <v>Matières et confort : confectionnée dans des matières douces comme le velours, la dentelle ou le satin, offrant un port agréable, un toucher délicat et une grande aisance de mouvement tout au long de la journée.</v>
      </c>
      <c r="BB6" s="2" t="str">
        <f t="shared" si="8"/>
        <v>Coupe et silhouette : coupe A évasée et taille haute qui mettent la silhouette en valeur avec élégance, soulignant la taille et apportant une allure gracieuse et féminine en toute circonstance.</v>
      </c>
      <c r="BC6" s="2" t="str">
        <f t="shared" si="9"/>
        <v>Finitions et détails : finitions soignées avec volants, laçage croisé, nœud et tablier pour un style raffiné, romantique et festif qui attire les regards et donne du caractère à la tenue.</v>
      </c>
      <c r="BD6" s="2" t="str">
        <f t="shared" si="10"/>
        <v>Polyvalence et conseil : s’associe aussi bien aux tenues décontractées qu’aux costumes de scène et de spectacle ; avant l’achat, veuillez consulter le guide des tailles pour un ajustement parfait.</v>
      </c>
      <c r="BG6" s="2" t="str">
        <f t="shared" si="11"/>
        <v>Manche épaule dénudée</v>
      </c>
      <c r="BH6" s="2" t="str">
        <f t="shared" si="12"/>
        <v>Cordon de serrage</v>
      </c>
    </row>
    <row r="7" ht="50" hidden="1" customHeight="1" spans="1:60">
      <c r="A7" s="4" t="s">
        <v>70</v>
      </c>
      <c r="B7" s="2" t="s">
        <v>71</v>
      </c>
      <c r="C7" s="2" t="str">
        <f t="shared" si="1"/>
        <v>Es07Qsbfzhad5wJp</v>
      </c>
      <c r="D7" s="4" t="str">
        <f t="shared" si="2"/>
        <v>Jupe Gothique Femme Longueur Cheville Taille Haute Volants</v>
      </c>
      <c r="E7" s="4" t="str">
        <f t="shared" si="3"/>
        <v>Jacquard Texturé Œillets Métalliques Laçage Croisé Taille Haute Longueur Cheville Volants Multicouches Jupe Gothique</v>
      </c>
      <c r="F7" s="4">
        <f t="shared" si="0"/>
        <v>58</v>
      </c>
      <c r="H7" s="4"/>
      <c r="I7" s="4" t="s">
        <v>72</v>
      </c>
      <c r="J7" s="4" t="s">
        <v>73</v>
      </c>
      <c r="K7" s="2" t="s">
        <v>74</v>
      </c>
      <c r="L7" s="2" t="s">
        <v>33</v>
      </c>
      <c r="M7" s="4" t="s">
        <v>6</v>
      </c>
      <c r="N7" s="4" t="s">
        <v>7</v>
      </c>
      <c r="O7" s="4"/>
      <c r="P7" s="4" t="s">
        <v>75</v>
      </c>
      <c r="Q7" s="4" t="s">
        <v>76</v>
      </c>
      <c r="R7" s="4" t="s">
        <v>77</v>
      </c>
      <c r="S7" s="4" t="s">
        <v>78</v>
      </c>
      <c r="T7" s="4"/>
      <c r="U7" s="4"/>
      <c r="V7" s="4"/>
      <c r="W7" s="4"/>
      <c r="X7" s="4"/>
      <c r="Y7" s="4" t="s">
        <v>17</v>
      </c>
      <c r="Z7" s="4"/>
      <c r="AA7" s="4" t="s">
        <v>75</v>
      </c>
      <c r="AB7" s="4"/>
      <c r="AC7" s="4" t="s">
        <v>76</v>
      </c>
      <c r="AD7" s="4"/>
      <c r="AE7" s="4" t="s">
        <v>77</v>
      </c>
      <c r="AF7" s="4"/>
      <c r="AG7" s="4" t="s">
        <v>78</v>
      </c>
      <c r="AH7" s="4"/>
      <c r="AI7" s="4"/>
      <c r="AJ7" s="4"/>
      <c r="AK7" s="4"/>
      <c r="AL7" s="4"/>
      <c r="AM7" s="4"/>
      <c r="AN7" s="4"/>
      <c r="AO7" s="4"/>
      <c r="AP7" s="4"/>
      <c r="AQ7" s="4"/>
      <c r="AR7" s="4" t="s">
        <v>18</v>
      </c>
      <c r="AS7" s="4" t="s">
        <v>6</v>
      </c>
      <c r="AT7" s="4">
        <v>26.66</v>
      </c>
      <c r="AU7" s="4">
        <v>31.99</v>
      </c>
      <c r="AV7" s="4">
        <v>24.01</v>
      </c>
      <c r="AW7" s="4">
        <v>32.01</v>
      </c>
      <c r="AX7" s="2" t="str">
        <f t="shared" si="4"/>
        <v>Encolure dégagée</v>
      </c>
      <c r="AY7" s="2" t="str">
        <f t="shared" si="5"/>
        <v>Sans col</v>
      </c>
      <c r="AZ7" s="2" t="str">
        <f t="shared" si="6"/>
        <v>Style et occasions : robe femme polyvalente idéale pour fêtes costumées, soirées à thème, Oktoberfest, Halloween et cosplay, tout en restant élégante pour des sorties décontractées ou des événements festifs variés.</v>
      </c>
      <c r="BA7" s="2" t="str">
        <f t="shared" si="7"/>
        <v>Matières et confort : confectionnée dans des matières douces comme le velours, la dentelle ou le satin, offrant un port agréable, un toucher délicat et une grande aisance de mouvement tout au long de la journée.</v>
      </c>
      <c r="BB7" s="2" t="str">
        <f t="shared" si="8"/>
        <v>Coupe et silhouette : coupe A évasée et taille haute qui mettent la silhouette en valeur avec élégance, soulignant la taille et apportant une allure gracieuse et féminine en toute circonstance.</v>
      </c>
      <c r="BC7" s="2" t="str">
        <f t="shared" si="9"/>
        <v>Finitions et détails : finitions soignées avec volants, laçage croisé, nœud et tablier pour un style raffiné, romantique et festif qui attire les regards et donne du caractère à la tenue.</v>
      </c>
      <c r="BD7" s="2" t="str">
        <f t="shared" si="10"/>
        <v>Polyvalence et conseil : s’associe aussi bien aux tenues décontractées qu’aux costumes de scène et de spectacle ; avant l’achat, veuillez consulter le guide des tailles pour un ajustement parfait.</v>
      </c>
      <c r="BG7" s="2" t="str">
        <f t="shared" si="11"/>
        <v>Manche épaule dénudée</v>
      </c>
      <c r="BH7" s="2" t="str">
        <f t="shared" si="12"/>
        <v>Cordon de serrage</v>
      </c>
    </row>
    <row r="8" ht="50" hidden="1" customHeight="1" spans="1:60">
      <c r="A8" s="4" t="s">
        <v>79</v>
      </c>
      <c r="B8" s="2" t="s">
        <v>80</v>
      </c>
      <c r="C8" s="2" t="str">
        <f t="shared" si="1"/>
        <v>Es07Qsbfzhad5wJp</v>
      </c>
      <c r="D8" s="4" t="str">
        <f t="shared" si="2"/>
        <v>Jupe Gothique Femme Longueur Cheville Taille Haute Volants</v>
      </c>
      <c r="E8" s="4" t="str">
        <f t="shared" si="3"/>
        <v>Jacquard Texturé Œillets Métalliques Laçage Croisé Taille Haute Longueur Cheville Volants Multicouches Jupe Gothique</v>
      </c>
      <c r="F8" s="4">
        <f t="shared" si="0"/>
        <v>58</v>
      </c>
      <c r="H8" s="4"/>
      <c r="I8" s="4" t="s">
        <v>81</v>
      </c>
      <c r="J8" s="4" t="s">
        <v>73</v>
      </c>
      <c r="K8" s="2" t="s">
        <v>74</v>
      </c>
      <c r="L8" s="2" t="s">
        <v>41</v>
      </c>
      <c r="M8" s="4" t="s">
        <v>6</v>
      </c>
      <c r="N8" s="4" t="s">
        <v>7</v>
      </c>
      <c r="O8" s="4"/>
      <c r="P8" s="4" t="s">
        <v>82</v>
      </c>
      <c r="Q8" s="4" t="s">
        <v>83</v>
      </c>
      <c r="R8" s="4" t="s">
        <v>84</v>
      </c>
      <c r="S8" s="4" t="s">
        <v>85</v>
      </c>
      <c r="T8" s="4"/>
      <c r="U8" s="4"/>
      <c r="V8" s="4"/>
      <c r="W8" s="4"/>
      <c r="X8" s="4"/>
      <c r="Y8" s="4" t="s">
        <v>17</v>
      </c>
      <c r="Z8" s="4"/>
      <c r="AA8" s="4" t="s">
        <v>82</v>
      </c>
      <c r="AB8" s="4"/>
      <c r="AC8" s="4" t="s">
        <v>83</v>
      </c>
      <c r="AD8" s="4"/>
      <c r="AE8" s="4" t="s">
        <v>84</v>
      </c>
      <c r="AF8" s="4"/>
      <c r="AG8" s="4" t="s">
        <v>85</v>
      </c>
      <c r="AH8" s="4"/>
      <c r="AI8" s="4"/>
      <c r="AJ8" s="4"/>
      <c r="AK8" s="4"/>
      <c r="AL8" s="4"/>
      <c r="AM8" s="4"/>
      <c r="AN8" s="4"/>
      <c r="AO8" s="4"/>
      <c r="AP8" s="4"/>
      <c r="AQ8" s="4"/>
      <c r="AR8" s="4" t="s">
        <v>18</v>
      </c>
      <c r="AS8" s="4" t="s">
        <v>6</v>
      </c>
      <c r="AT8" s="4">
        <v>26.66</v>
      </c>
      <c r="AU8" s="4">
        <v>31.99</v>
      </c>
      <c r="AV8" s="4">
        <v>24.01</v>
      </c>
      <c r="AW8" s="4">
        <v>32.01</v>
      </c>
      <c r="AX8" s="2" t="str">
        <f t="shared" si="4"/>
        <v>Encolure dégagée</v>
      </c>
      <c r="AY8" s="2" t="str">
        <f t="shared" si="5"/>
        <v>Sans col</v>
      </c>
      <c r="AZ8" s="2" t="str">
        <f t="shared" si="6"/>
        <v>Style et occasions : robe femme polyvalente idéale pour fêtes costumées, soirées à thème, Oktoberfest, Halloween et cosplay, tout en restant élégante pour des sorties décontractées ou des événements festifs variés.</v>
      </c>
      <c r="BA8" s="2" t="str">
        <f t="shared" si="7"/>
        <v>Matières et confort : confectionnée dans des matières douces comme le velours, la dentelle ou le satin, offrant un port agréable, un toucher délicat et une grande aisance de mouvement tout au long de la journée.</v>
      </c>
      <c r="BB8" s="2" t="str">
        <f t="shared" si="8"/>
        <v>Coupe et silhouette : coupe A évasée et taille haute qui mettent la silhouette en valeur avec élégance, soulignant la taille et apportant une allure gracieuse et féminine en toute circonstance.</v>
      </c>
      <c r="BC8" s="2" t="str">
        <f t="shared" si="9"/>
        <v>Finitions et détails : finitions soignées avec volants, laçage croisé, nœud et tablier pour un style raffiné, romantique et festif qui attire les regards et donne du caractère à la tenue.</v>
      </c>
      <c r="BD8" s="2" t="str">
        <f t="shared" si="10"/>
        <v>Polyvalence et conseil : s’associe aussi bien aux tenues décontractées qu’aux costumes de scène et de spectacle ; avant l’achat, veuillez consulter le guide des tailles pour un ajustement parfait.</v>
      </c>
      <c r="BG8" s="2" t="str">
        <f t="shared" si="11"/>
        <v>Manche épaule dénudée</v>
      </c>
      <c r="BH8" s="2" t="str">
        <f t="shared" si="12"/>
        <v>Cordon de serrage</v>
      </c>
    </row>
    <row r="9" ht="50" hidden="1" customHeight="1" spans="1:60">
      <c r="A9" s="4" t="s">
        <v>86</v>
      </c>
      <c r="B9" s="2" t="s">
        <v>87</v>
      </c>
      <c r="C9" s="2" t="str">
        <f t="shared" si="1"/>
        <v>Es07Qsbfzhad5wJp</v>
      </c>
      <c r="D9" s="4" t="str">
        <f t="shared" si="2"/>
        <v>Jupe Gothique Femme Longueur Cheville Taille Haute Volants</v>
      </c>
      <c r="E9" s="4" t="str">
        <f t="shared" si="3"/>
        <v>Jacquard Texturé Œillets Métalliques Laçage Croisé Taille Haute Longueur Cheville Volants Multicouches Jupe Gothique</v>
      </c>
      <c r="F9" s="4">
        <f t="shared" si="0"/>
        <v>58</v>
      </c>
      <c r="H9" s="4"/>
      <c r="I9" s="4" t="s">
        <v>88</v>
      </c>
      <c r="J9" s="4" t="s">
        <v>73</v>
      </c>
      <c r="K9" s="2" t="s">
        <v>74</v>
      </c>
      <c r="L9" s="2" t="s">
        <v>49</v>
      </c>
      <c r="M9" s="4" t="s">
        <v>6</v>
      </c>
      <c r="N9" s="4" t="s">
        <v>7</v>
      </c>
      <c r="O9" s="4"/>
      <c r="P9" s="4" t="s">
        <v>89</v>
      </c>
      <c r="Q9" s="4" t="s">
        <v>90</v>
      </c>
      <c r="R9" s="4" t="s">
        <v>91</v>
      </c>
      <c r="S9" s="4" t="s">
        <v>92</v>
      </c>
      <c r="T9" s="4"/>
      <c r="U9" s="4"/>
      <c r="V9" s="4"/>
      <c r="W9" s="4"/>
      <c r="X9" s="4"/>
      <c r="Y9" s="4" t="s">
        <v>17</v>
      </c>
      <c r="Z9" s="4"/>
      <c r="AA9" s="4" t="s">
        <v>89</v>
      </c>
      <c r="AB9" s="4"/>
      <c r="AC9" s="4" t="s">
        <v>90</v>
      </c>
      <c r="AD9" s="4"/>
      <c r="AE9" s="4" t="s">
        <v>91</v>
      </c>
      <c r="AF9" s="4"/>
      <c r="AG9" s="4" t="s">
        <v>92</v>
      </c>
      <c r="AH9" s="4"/>
      <c r="AI9" s="4"/>
      <c r="AJ9" s="4"/>
      <c r="AK9" s="4"/>
      <c r="AL9" s="4"/>
      <c r="AM9" s="4"/>
      <c r="AN9" s="4"/>
      <c r="AO9" s="4"/>
      <c r="AP9" s="4"/>
      <c r="AQ9" s="4"/>
      <c r="AR9" s="4" t="s">
        <v>18</v>
      </c>
      <c r="AS9" s="4" t="s">
        <v>6</v>
      </c>
      <c r="AT9" s="4">
        <v>26.66</v>
      </c>
      <c r="AU9" s="4">
        <v>31.99</v>
      </c>
      <c r="AV9" s="4">
        <v>24.01</v>
      </c>
      <c r="AW9" s="4">
        <v>32.01</v>
      </c>
      <c r="AX9" s="2" t="str">
        <f t="shared" si="4"/>
        <v>Encolure dégagée</v>
      </c>
      <c r="AY9" s="2" t="str">
        <f t="shared" si="5"/>
        <v>Sans col</v>
      </c>
      <c r="AZ9" s="2" t="str">
        <f t="shared" si="6"/>
        <v>Style et occasions : robe femme polyvalente idéale pour fêtes costumées, soirées à thème, Oktoberfest, Halloween et cosplay, tout en restant élégante pour des sorties décontractées ou des événements festifs variés.</v>
      </c>
      <c r="BA9" s="2" t="str">
        <f t="shared" si="7"/>
        <v>Matières et confort : confectionnée dans des matières douces comme le velours, la dentelle ou le satin, offrant un port agréable, un toucher délicat et une grande aisance de mouvement tout au long de la journée.</v>
      </c>
      <c r="BB9" s="2" t="str">
        <f t="shared" si="8"/>
        <v>Coupe et silhouette : coupe A évasée et taille haute qui mettent la silhouette en valeur avec élégance, soulignant la taille et apportant une allure gracieuse et féminine en toute circonstance.</v>
      </c>
      <c r="BC9" s="2" t="str">
        <f t="shared" si="9"/>
        <v>Finitions et détails : finitions soignées avec volants, laçage croisé, nœud et tablier pour un style raffiné, romantique et festif qui attire les regards et donne du caractère à la tenue.</v>
      </c>
      <c r="BD9" s="2" t="str">
        <f t="shared" si="10"/>
        <v>Polyvalence et conseil : s’associe aussi bien aux tenues décontractées qu’aux costumes de scène et de spectacle ; avant l’achat, veuillez consulter le guide des tailles pour un ajustement parfait.</v>
      </c>
      <c r="BG9" s="2" t="str">
        <f t="shared" si="11"/>
        <v>Manche épaule dénudée</v>
      </c>
      <c r="BH9" s="2" t="str">
        <f t="shared" si="12"/>
        <v>Cordon de serrage</v>
      </c>
    </row>
    <row r="10" ht="50" hidden="1" customHeight="1" spans="1:60">
      <c r="A10" s="4" t="s">
        <v>93</v>
      </c>
      <c r="B10" s="2" t="s">
        <v>94</v>
      </c>
      <c r="C10" s="2" t="str">
        <f t="shared" si="1"/>
        <v>Es07Qsbfzhad5wJp</v>
      </c>
      <c r="D10" s="4" t="str">
        <f t="shared" si="2"/>
        <v>Jupe Gothique Femme Longueur Cheville Taille Haute Volants</v>
      </c>
      <c r="E10" s="4" t="str">
        <f t="shared" si="3"/>
        <v>Jacquard Texturé Œillets Métalliques Laçage Croisé Taille Haute Longueur Cheville Volants Multicouches Jupe Gothique</v>
      </c>
      <c r="F10" s="4">
        <f t="shared" si="0"/>
        <v>58</v>
      </c>
      <c r="H10" s="4"/>
      <c r="I10" s="4" t="s">
        <v>95</v>
      </c>
      <c r="J10" s="4" t="s">
        <v>73</v>
      </c>
      <c r="K10" s="2" t="s">
        <v>74</v>
      </c>
      <c r="L10" s="2" t="s">
        <v>57</v>
      </c>
      <c r="M10" s="4" t="s">
        <v>6</v>
      </c>
      <c r="N10" s="4" t="s">
        <v>7</v>
      </c>
      <c r="O10" s="4"/>
      <c r="P10" s="4" t="s">
        <v>96</v>
      </c>
      <c r="Q10" s="4" t="s">
        <v>97</v>
      </c>
      <c r="R10" s="4" t="s">
        <v>98</v>
      </c>
      <c r="S10" s="4" t="s">
        <v>99</v>
      </c>
      <c r="T10" s="4"/>
      <c r="U10" s="4"/>
      <c r="V10" s="4"/>
      <c r="W10" s="4"/>
      <c r="X10" s="4"/>
      <c r="Y10" s="4" t="s">
        <v>17</v>
      </c>
      <c r="Z10" s="4"/>
      <c r="AA10" s="4" t="s">
        <v>96</v>
      </c>
      <c r="AB10" s="4"/>
      <c r="AC10" s="4" t="s">
        <v>97</v>
      </c>
      <c r="AD10" s="4"/>
      <c r="AE10" s="4" t="s">
        <v>98</v>
      </c>
      <c r="AF10" s="4"/>
      <c r="AG10" s="4" t="s">
        <v>99</v>
      </c>
      <c r="AH10" s="4"/>
      <c r="AI10" s="4"/>
      <c r="AJ10" s="4"/>
      <c r="AK10" s="4"/>
      <c r="AL10" s="4"/>
      <c r="AM10" s="4"/>
      <c r="AN10" s="4"/>
      <c r="AO10" s="4"/>
      <c r="AP10" s="4"/>
      <c r="AQ10" s="4"/>
      <c r="AR10" s="4" t="s">
        <v>18</v>
      </c>
      <c r="AS10" s="4" t="s">
        <v>6</v>
      </c>
      <c r="AT10" s="4">
        <v>26.66</v>
      </c>
      <c r="AU10" s="4">
        <v>31.99</v>
      </c>
      <c r="AV10" s="4">
        <v>24.01</v>
      </c>
      <c r="AW10" s="4">
        <v>32.01</v>
      </c>
      <c r="AX10" s="2" t="str">
        <f t="shared" si="4"/>
        <v>Encolure dégagée</v>
      </c>
      <c r="AY10" s="2" t="str">
        <f t="shared" si="5"/>
        <v>Sans col</v>
      </c>
      <c r="AZ10" s="2" t="str">
        <f t="shared" si="6"/>
        <v>Style et occasions : robe femme polyvalente idéale pour fêtes costumées, soirées à thème, Oktoberfest, Halloween et cosplay, tout en restant élégante pour des sorties décontractées ou des événements festifs variés.</v>
      </c>
      <c r="BA10" s="2" t="str">
        <f t="shared" si="7"/>
        <v>Matières et confort : confectionnée dans des matières douces comme le velours, la dentelle ou le satin, offrant un port agréable, un toucher délicat et une grande aisance de mouvement tout au long de la journée.</v>
      </c>
      <c r="BB10" s="2" t="str">
        <f t="shared" si="8"/>
        <v>Coupe et silhouette : coupe A évasée et taille haute qui mettent la silhouette en valeur avec élégance, soulignant la taille et apportant une allure gracieuse et féminine en toute circonstance.</v>
      </c>
      <c r="BC10" s="2" t="str">
        <f t="shared" si="9"/>
        <v>Finitions et détails : finitions soignées avec volants, laçage croisé, nœud et tablier pour un style raffiné, romantique et festif qui attire les regards et donne du caractère à la tenue.</v>
      </c>
      <c r="BD10" s="2" t="str">
        <f t="shared" si="10"/>
        <v>Polyvalence et conseil : s’associe aussi bien aux tenues décontractées qu’aux costumes de scène et de spectacle ; avant l’achat, veuillez consulter le guide des tailles pour un ajustement parfait.</v>
      </c>
      <c r="BG10" s="2" t="str">
        <f t="shared" si="11"/>
        <v>Manche épaule dénudée</v>
      </c>
      <c r="BH10" s="2" t="str">
        <f t="shared" si="12"/>
        <v>Cordon de serrage</v>
      </c>
    </row>
    <row r="11" ht="50" hidden="1" customHeight="1" spans="1:60">
      <c r="A11" s="4" t="s">
        <v>100</v>
      </c>
      <c r="B11" s="2" t="s">
        <v>101</v>
      </c>
      <c r="C11" s="2" t="str">
        <f t="shared" si="1"/>
        <v>Es07Qsbfzhad5wJp</v>
      </c>
      <c r="D11" s="4" t="str">
        <f t="shared" si="2"/>
        <v>Jupe Gothique Femme Longueur Cheville Taille Haute Volants</v>
      </c>
      <c r="E11" s="4" t="str">
        <f t="shared" si="3"/>
        <v>Jacquard Texturé Œillets Métalliques Laçage Croisé Taille Haute Longueur Cheville Volants Multicouches Jupe Gothique</v>
      </c>
      <c r="F11" s="4">
        <f t="shared" si="0"/>
        <v>58</v>
      </c>
      <c r="H11" s="4"/>
      <c r="I11" s="4" t="s">
        <v>102</v>
      </c>
      <c r="J11" s="4" t="s">
        <v>73</v>
      </c>
      <c r="K11" s="2" t="s">
        <v>74</v>
      </c>
      <c r="L11" s="2" t="s">
        <v>65</v>
      </c>
      <c r="M11" s="4" t="s">
        <v>6</v>
      </c>
      <c r="N11" s="4" t="s">
        <v>7</v>
      </c>
      <c r="O11" s="4"/>
      <c r="P11" s="4" t="s">
        <v>103</v>
      </c>
      <c r="Q11" s="4" t="s">
        <v>104</v>
      </c>
      <c r="R11" s="4" t="s">
        <v>105</v>
      </c>
      <c r="S11" s="4" t="s">
        <v>106</v>
      </c>
      <c r="T11" s="4"/>
      <c r="U11" s="4"/>
      <c r="V11" s="4"/>
      <c r="W11" s="4"/>
      <c r="X11" s="4"/>
      <c r="Y11" s="4" t="s">
        <v>17</v>
      </c>
      <c r="Z11" s="4"/>
      <c r="AA11" s="4" t="s">
        <v>103</v>
      </c>
      <c r="AB11" s="4"/>
      <c r="AC11" s="4" t="s">
        <v>104</v>
      </c>
      <c r="AD11" s="4"/>
      <c r="AE11" s="4" t="s">
        <v>105</v>
      </c>
      <c r="AF11" s="4"/>
      <c r="AG11" s="4" t="s">
        <v>106</v>
      </c>
      <c r="AH11" s="4"/>
      <c r="AI11" s="4"/>
      <c r="AJ11" s="4"/>
      <c r="AK11" s="4"/>
      <c r="AL11" s="4"/>
      <c r="AM11" s="4"/>
      <c r="AN11" s="4"/>
      <c r="AO11" s="4"/>
      <c r="AP11" s="4"/>
      <c r="AQ11" s="4"/>
      <c r="AR11" s="4" t="s">
        <v>18</v>
      </c>
      <c r="AS11" s="4" t="s">
        <v>6</v>
      </c>
      <c r="AT11" s="4">
        <v>26.66</v>
      </c>
      <c r="AU11" s="4">
        <v>31.99</v>
      </c>
      <c r="AV11" s="4">
        <v>24.01</v>
      </c>
      <c r="AW11" s="4">
        <v>32.01</v>
      </c>
      <c r="AX11" s="2" t="str">
        <f t="shared" si="4"/>
        <v>Encolure dégagée</v>
      </c>
      <c r="AY11" s="2" t="str">
        <f t="shared" si="5"/>
        <v>Sans col</v>
      </c>
      <c r="AZ11" s="2" t="str">
        <f t="shared" si="6"/>
        <v>Style et occasions : robe femme polyvalente idéale pour fêtes costumées, soirées à thème, Oktoberfest, Halloween et cosplay, tout en restant élégante pour des sorties décontractées ou des événements festifs variés.</v>
      </c>
      <c r="BA11" s="2" t="str">
        <f t="shared" si="7"/>
        <v>Matières et confort : confectionnée dans des matières douces comme le velours, la dentelle ou le satin, offrant un port agréable, un toucher délicat et une grande aisance de mouvement tout au long de la journée.</v>
      </c>
      <c r="BB11" s="2" t="str">
        <f t="shared" si="8"/>
        <v>Coupe et silhouette : coupe A évasée et taille haute qui mettent la silhouette en valeur avec élégance, soulignant la taille et apportant une allure gracieuse et féminine en toute circonstance.</v>
      </c>
      <c r="BC11" s="2" t="str">
        <f t="shared" si="9"/>
        <v>Finitions et détails : finitions soignées avec volants, laçage croisé, nœud et tablier pour un style raffiné, romantique et festif qui attire les regards et donne du caractère à la tenue.</v>
      </c>
      <c r="BD11" s="2" t="str">
        <f t="shared" si="10"/>
        <v>Polyvalence et conseil : s’associe aussi bien aux tenues décontractées qu’aux costumes de scène et de spectacle ; avant l’achat, veuillez consulter le guide des tailles pour un ajustement parfait.</v>
      </c>
      <c r="BG11" s="2" t="str">
        <f t="shared" si="11"/>
        <v>Manche épaule dénudée</v>
      </c>
      <c r="BH11" s="2" t="str">
        <f t="shared" si="12"/>
        <v>Cordon de serrage</v>
      </c>
    </row>
    <row r="12" ht="50" hidden="1" customHeight="1" spans="1:60">
      <c r="A12" s="4" t="s">
        <v>107</v>
      </c>
      <c r="B12" s="2" t="s">
        <v>108</v>
      </c>
      <c r="C12" s="2" t="str">
        <f t="shared" si="1"/>
        <v>Es07Qsbfzhad5wJp</v>
      </c>
      <c r="D12" s="4" t="str">
        <f t="shared" si="2"/>
        <v>Jupe Gothique Femme Longueur Cheville Taille Haute Volants</v>
      </c>
      <c r="E12" s="4" t="str">
        <f t="shared" si="3"/>
        <v>Jacquard Texturé Œillets Métalliques Laçage Croisé Taille Haute Longueur Cheville Volants Multicouches Jupe Gothique</v>
      </c>
      <c r="F12" s="4">
        <f t="shared" si="0"/>
        <v>58</v>
      </c>
      <c r="H12" s="4"/>
      <c r="I12" s="4" t="s">
        <v>109</v>
      </c>
      <c r="J12" s="4" t="s">
        <v>110</v>
      </c>
      <c r="K12" s="2" t="s">
        <v>111</v>
      </c>
      <c r="L12" s="2" t="s">
        <v>33</v>
      </c>
      <c r="M12" s="4" t="s">
        <v>6</v>
      </c>
      <c r="N12" s="4" t="s">
        <v>7</v>
      </c>
      <c r="O12" s="4"/>
      <c r="P12" s="4" t="s">
        <v>112</v>
      </c>
      <c r="Q12" s="4" t="s">
        <v>113</v>
      </c>
      <c r="R12" s="4" t="s">
        <v>114</v>
      </c>
      <c r="S12" s="4" t="s">
        <v>115</v>
      </c>
      <c r="T12" s="4"/>
      <c r="U12" s="4"/>
      <c r="V12" s="4"/>
      <c r="W12" s="4"/>
      <c r="X12" s="4"/>
      <c r="Y12" s="4" t="s">
        <v>17</v>
      </c>
      <c r="Z12" s="4"/>
      <c r="AA12" s="4" t="s">
        <v>112</v>
      </c>
      <c r="AB12" s="4"/>
      <c r="AC12" s="4" t="s">
        <v>113</v>
      </c>
      <c r="AD12" s="4"/>
      <c r="AE12" s="4" t="s">
        <v>114</v>
      </c>
      <c r="AF12" s="4"/>
      <c r="AG12" s="4" t="s">
        <v>115</v>
      </c>
      <c r="AH12" s="4"/>
      <c r="AI12" s="4"/>
      <c r="AJ12" s="4"/>
      <c r="AK12" s="4"/>
      <c r="AL12" s="4"/>
      <c r="AM12" s="4"/>
      <c r="AN12" s="4"/>
      <c r="AO12" s="4"/>
      <c r="AP12" s="4"/>
      <c r="AQ12" s="4"/>
      <c r="AR12" s="4" t="s">
        <v>18</v>
      </c>
      <c r="AS12" s="4" t="s">
        <v>6</v>
      </c>
      <c r="AT12" s="4">
        <v>26.66</v>
      </c>
      <c r="AU12" s="4">
        <v>31.99</v>
      </c>
      <c r="AV12" s="4">
        <v>24.01</v>
      </c>
      <c r="AW12" s="4">
        <v>32.01</v>
      </c>
      <c r="AX12" s="2" t="str">
        <f t="shared" si="4"/>
        <v>Encolure dégagée</v>
      </c>
      <c r="AY12" s="2" t="str">
        <f t="shared" si="5"/>
        <v>Sans col</v>
      </c>
      <c r="AZ12" s="2" t="str">
        <f t="shared" si="6"/>
        <v>Style et occasions : robe femme polyvalente idéale pour fêtes costumées, soirées à thème, Oktoberfest, Halloween et cosplay, tout en restant élégante pour des sorties décontractées ou des événements festifs variés.</v>
      </c>
      <c r="BA12" s="2" t="str">
        <f t="shared" si="7"/>
        <v>Matières et confort : confectionnée dans des matières douces comme le velours, la dentelle ou le satin, offrant un port agréable, un toucher délicat et une grande aisance de mouvement tout au long de la journée.</v>
      </c>
      <c r="BB12" s="2" t="str">
        <f t="shared" si="8"/>
        <v>Coupe et silhouette : coupe A évasée et taille haute qui mettent la silhouette en valeur avec élégance, soulignant la taille et apportant une allure gracieuse et féminine en toute circonstance.</v>
      </c>
      <c r="BC12" s="2" t="str">
        <f t="shared" si="9"/>
        <v>Finitions et détails : finitions soignées avec volants, laçage croisé, nœud et tablier pour un style raffiné, romantique et festif qui attire les regards et donne du caractère à la tenue.</v>
      </c>
      <c r="BD12" s="2" t="str">
        <f t="shared" si="10"/>
        <v>Polyvalence et conseil : s’associe aussi bien aux tenues décontractées qu’aux costumes de scène et de spectacle ; avant l’achat, veuillez consulter le guide des tailles pour un ajustement parfait.</v>
      </c>
      <c r="BG12" s="2" t="str">
        <f t="shared" si="11"/>
        <v>Manche épaule dénudée</v>
      </c>
      <c r="BH12" s="2" t="str">
        <f t="shared" si="12"/>
        <v>Cordon de serrage</v>
      </c>
    </row>
    <row r="13" ht="50" hidden="1" customHeight="1" spans="1:60">
      <c r="A13" s="4" t="s">
        <v>116</v>
      </c>
      <c r="B13" s="2" t="s">
        <v>117</v>
      </c>
      <c r="C13" s="2" t="str">
        <f t="shared" si="1"/>
        <v>Es07Qsbfzhad5wJp</v>
      </c>
      <c r="D13" s="4" t="str">
        <f t="shared" si="2"/>
        <v>Jupe Gothique Femme Longueur Cheville Taille Haute Volants</v>
      </c>
      <c r="E13" s="4" t="str">
        <f t="shared" si="3"/>
        <v>Jacquard Texturé Œillets Métalliques Laçage Croisé Taille Haute Longueur Cheville Volants Multicouches Jupe Gothique</v>
      </c>
      <c r="F13" s="4">
        <f t="shared" si="0"/>
        <v>58</v>
      </c>
      <c r="H13" s="4"/>
      <c r="I13" s="4" t="s">
        <v>118</v>
      </c>
      <c r="J13" s="4" t="s">
        <v>110</v>
      </c>
      <c r="K13" s="2" t="s">
        <v>111</v>
      </c>
      <c r="L13" s="2" t="s">
        <v>41</v>
      </c>
      <c r="M13" s="4" t="s">
        <v>6</v>
      </c>
      <c r="N13" s="4" t="s">
        <v>7</v>
      </c>
      <c r="O13" s="4"/>
      <c r="P13" s="4" t="s">
        <v>119</v>
      </c>
      <c r="Q13" s="4" t="s">
        <v>120</v>
      </c>
      <c r="R13" s="4" t="s">
        <v>121</v>
      </c>
      <c r="S13" s="4" t="s">
        <v>122</v>
      </c>
      <c r="T13" s="4"/>
      <c r="U13" s="4"/>
      <c r="V13" s="4"/>
      <c r="W13" s="4"/>
      <c r="X13" s="4"/>
      <c r="Y13" s="4" t="s">
        <v>17</v>
      </c>
      <c r="Z13" s="4"/>
      <c r="AA13" s="4" t="s">
        <v>119</v>
      </c>
      <c r="AB13" s="4"/>
      <c r="AC13" s="4" t="s">
        <v>120</v>
      </c>
      <c r="AD13" s="4"/>
      <c r="AE13" s="4" t="s">
        <v>121</v>
      </c>
      <c r="AF13" s="4"/>
      <c r="AG13" s="4" t="s">
        <v>122</v>
      </c>
      <c r="AH13" s="4"/>
      <c r="AI13" s="4"/>
      <c r="AJ13" s="4"/>
      <c r="AK13" s="4"/>
      <c r="AL13" s="4"/>
      <c r="AM13" s="4"/>
      <c r="AN13" s="4"/>
      <c r="AO13" s="4"/>
      <c r="AP13" s="4"/>
      <c r="AQ13" s="4"/>
      <c r="AR13" s="4" t="s">
        <v>18</v>
      </c>
      <c r="AS13" s="4" t="s">
        <v>6</v>
      </c>
      <c r="AT13" s="4">
        <v>26.66</v>
      </c>
      <c r="AU13" s="4">
        <v>31.99</v>
      </c>
      <c r="AV13" s="4">
        <v>24.01</v>
      </c>
      <c r="AW13" s="4">
        <v>32.01</v>
      </c>
      <c r="AX13" s="2" t="str">
        <f t="shared" si="4"/>
        <v>Encolure dégagée</v>
      </c>
      <c r="AY13" s="2" t="str">
        <f t="shared" si="5"/>
        <v>Sans col</v>
      </c>
      <c r="AZ13" s="2" t="str">
        <f t="shared" si="6"/>
        <v>Style et occasions : robe femme polyvalente idéale pour fêtes costumées, soirées à thème, Oktoberfest, Halloween et cosplay, tout en restant élégante pour des sorties décontractées ou des événements festifs variés.</v>
      </c>
      <c r="BA13" s="2" t="str">
        <f t="shared" si="7"/>
        <v>Matières et confort : confectionnée dans des matières douces comme le velours, la dentelle ou le satin, offrant un port agréable, un toucher délicat et une grande aisance de mouvement tout au long de la journée.</v>
      </c>
      <c r="BB13" s="2" t="str">
        <f t="shared" si="8"/>
        <v>Coupe et silhouette : coupe A évasée et taille haute qui mettent la silhouette en valeur avec élégance, soulignant la taille et apportant une allure gracieuse et féminine en toute circonstance.</v>
      </c>
      <c r="BC13" s="2" t="str">
        <f t="shared" si="9"/>
        <v>Finitions et détails : finitions soignées avec volants, laçage croisé, nœud et tablier pour un style raffiné, romantique et festif qui attire les regards et donne du caractère à la tenue.</v>
      </c>
      <c r="BD13" s="2" t="str">
        <f t="shared" si="10"/>
        <v>Polyvalence et conseil : s’associe aussi bien aux tenues décontractées qu’aux costumes de scène et de spectacle ; avant l’achat, veuillez consulter le guide des tailles pour un ajustement parfait.</v>
      </c>
      <c r="BG13" s="2" t="str">
        <f t="shared" si="11"/>
        <v>Manche épaule dénudée</v>
      </c>
      <c r="BH13" s="2" t="str">
        <f t="shared" si="12"/>
        <v>Cordon de serrage</v>
      </c>
    </row>
    <row r="14" ht="50" hidden="1" customHeight="1" spans="1:60">
      <c r="A14" s="4" t="s">
        <v>123</v>
      </c>
      <c r="B14" s="2" t="s">
        <v>124</v>
      </c>
      <c r="C14" s="2" t="str">
        <f t="shared" si="1"/>
        <v>Es07Qsbfzhad5wJp</v>
      </c>
      <c r="D14" s="4" t="str">
        <f t="shared" si="2"/>
        <v>Jupe Gothique Femme Longueur Cheville Taille Haute Volants</v>
      </c>
      <c r="E14" s="4" t="str">
        <f t="shared" si="3"/>
        <v>Jacquard Texturé Œillets Métalliques Laçage Croisé Taille Haute Longueur Cheville Volants Multicouches Jupe Gothique</v>
      </c>
      <c r="F14" s="4">
        <f t="shared" si="0"/>
        <v>58</v>
      </c>
      <c r="H14" s="4"/>
      <c r="I14" s="4" t="s">
        <v>125</v>
      </c>
      <c r="J14" s="4" t="s">
        <v>110</v>
      </c>
      <c r="K14" s="2" t="s">
        <v>111</v>
      </c>
      <c r="L14" s="2" t="s">
        <v>49</v>
      </c>
      <c r="M14" s="4" t="s">
        <v>6</v>
      </c>
      <c r="N14" s="4" t="s">
        <v>7</v>
      </c>
      <c r="O14" s="4"/>
      <c r="P14" s="4" t="s">
        <v>126</v>
      </c>
      <c r="Q14" s="4" t="s">
        <v>127</v>
      </c>
      <c r="R14" s="4" t="s">
        <v>128</v>
      </c>
      <c r="S14" s="4" t="s">
        <v>129</v>
      </c>
      <c r="T14" s="4"/>
      <c r="U14" s="4"/>
      <c r="V14" s="4"/>
      <c r="W14" s="4"/>
      <c r="X14" s="4"/>
      <c r="Y14" s="4" t="s">
        <v>17</v>
      </c>
      <c r="Z14" s="4"/>
      <c r="AA14" s="4" t="s">
        <v>126</v>
      </c>
      <c r="AB14" s="4"/>
      <c r="AC14" s="4" t="s">
        <v>127</v>
      </c>
      <c r="AD14" s="4"/>
      <c r="AE14" s="4" t="s">
        <v>128</v>
      </c>
      <c r="AF14" s="4"/>
      <c r="AG14" s="4" t="s">
        <v>129</v>
      </c>
      <c r="AH14" s="4"/>
      <c r="AI14" s="4"/>
      <c r="AJ14" s="4"/>
      <c r="AK14" s="4"/>
      <c r="AL14" s="4"/>
      <c r="AM14" s="4"/>
      <c r="AN14" s="4"/>
      <c r="AO14" s="4"/>
      <c r="AP14" s="4"/>
      <c r="AQ14" s="4"/>
      <c r="AR14" s="4" t="s">
        <v>18</v>
      </c>
      <c r="AS14" s="4" t="s">
        <v>6</v>
      </c>
      <c r="AT14" s="4">
        <v>26.66</v>
      </c>
      <c r="AU14" s="4">
        <v>31.99</v>
      </c>
      <c r="AV14" s="4">
        <v>24.01</v>
      </c>
      <c r="AW14" s="4">
        <v>32.01</v>
      </c>
      <c r="AX14" s="2" t="str">
        <f t="shared" si="4"/>
        <v>Encolure dégagée</v>
      </c>
      <c r="AY14" s="2" t="str">
        <f t="shared" si="5"/>
        <v>Sans col</v>
      </c>
      <c r="AZ14" s="2" t="str">
        <f t="shared" si="6"/>
        <v>Style et occasions : robe femme polyvalente idéale pour fêtes costumées, soirées à thème, Oktoberfest, Halloween et cosplay, tout en restant élégante pour des sorties décontractées ou des événements festifs variés.</v>
      </c>
      <c r="BA14" s="2" t="str">
        <f t="shared" si="7"/>
        <v>Matières et confort : confectionnée dans des matières douces comme le velours, la dentelle ou le satin, offrant un port agréable, un toucher délicat et une grande aisance de mouvement tout au long de la journée.</v>
      </c>
      <c r="BB14" s="2" t="str">
        <f t="shared" si="8"/>
        <v>Coupe et silhouette : coupe A évasée et taille haute qui mettent la silhouette en valeur avec élégance, soulignant la taille et apportant une allure gracieuse et féminine en toute circonstance.</v>
      </c>
      <c r="BC14" s="2" t="str">
        <f t="shared" si="9"/>
        <v>Finitions et détails : finitions soignées avec volants, laçage croisé, nœud et tablier pour un style raffiné, romantique et festif qui attire les regards et donne du caractère à la tenue.</v>
      </c>
      <c r="BD14" s="2" t="str">
        <f t="shared" si="10"/>
        <v>Polyvalence et conseil : s’associe aussi bien aux tenues décontractées qu’aux costumes de scène et de spectacle ; avant l’achat, veuillez consulter le guide des tailles pour un ajustement parfait.</v>
      </c>
      <c r="BG14" s="2" t="str">
        <f t="shared" si="11"/>
        <v>Manche épaule dénudée</v>
      </c>
      <c r="BH14" s="2" t="str">
        <f t="shared" si="12"/>
        <v>Cordon de serrage</v>
      </c>
    </row>
    <row r="15" ht="50" hidden="1" customHeight="1" spans="1:60">
      <c r="A15" s="4" t="s">
        <v>130</v>
      </c>
      <c r="B15" s="2" t="s">
        <v>131</v>
      </c>
      <c r="C15" s="2" t="str">
        <f t="shared" si="1"/>
        <v>Es07Qsbfzhad5wJp</v>
      </c>
      <c r="D15" s="4" t="str">
        <f t="shared" si="2"/>
        <v>Jupe Gothique Femme Longueur Cheville Taille Haute Volants</v>
      </c>
      <c r="E15" s="4" t="str">
        <f t="shared" si="3"/>
        <v>Jacquard Texturé Œillets Métalliques Laçage Croisé Taille Haute Longueur Cheville Volants Multicouches Jupe Gothique</v>
      </c>
      <c r="F15" s="4">
        <f t="shared" si="0"/>
        <v>58</v>
      </c>
      <c r="H15" s="4"/>
      <c r="I15" s="4" t="s">
        <v>132</v>
      </c>
      <c r="J15" s="4" t="s">
        <v>110</v>
      </c>
      <c r="K15" s="2" t="s">
        <v>111</v>
      </c>
      <c r="L15" s="2" t="s">
        <v>57</v>
      </c>
      <c r="M15" s="4" t="s">
        <v>6</v>
      </c>
      <c r="N15" s="4" t="s">
        <v>7</v>
      </c>
      <c r="O15" s="4"/>
      <c r="P15" s="4" t="s">
        <v>133</v>
      </c>
      <c r="Q15" s="4" t="s">
        <v>134</v>
      </c>
      <c r="R15" s="4" t="s">
        <v>135</v>
      </c>
      <c r="S15" s="4" t="s">
        <v>136</v>
      </c>
      <c r="T15" s="4"/>
      <c r="U15" s="4"/>
      <c r="V15" s="4"/>
      <c r="W15" s="4"/>
      <c r="X15" s="4"/>
      <c r="Y15" s="4" t="s">
        <v>17</v>
      </c>
      <c r="Z15" s="4"/>
      <c r="AA15" s="4" t="s">
        <v>133</v>
      </c>
      <c r="AB15" s="4"/>
      <c r="AC15" s="4" t="s">
        <v>134</v>
      </c>
      <c r="AD15" s="4"/>
      <c r="AE15" s="4" t="s">
        <v>135</v>
      </c>
      <c r="AF15" s="4"/>
      <c r="AG15" s="4" t="s">
        <v>136</v>
      </c>
      <c r="AH15" s="4"/>
      <c r="AI15" s="4"/>
      <c r="AJ15" s="4"/>
      <c r="AK15" s="4"/>
      <c r="AL15" s="4"/>
      <c r="AM15" s="4"/>
      <c r="AN15" s="4"/>
      <c r="AO15" s="4"/>
      <c r="AP15" s="4"/>
      <c r="AQ15" s="4"/>
      <c r="AR15" s="4" t="s">
        <v>18</v>
      </c>
      <c r="AS15" s="4" t="s">
        <v>6</v>
      </c>
      <c r="AT15" s="4">
        <v>26.66</v>
      </c>
      <c r="AU15" s="4">
        <v>31.99</v>
      </c>
      <c r="AV15" s="4">
        <v>24.01</v>
      </c>
      <c r="AW15" s="4">
        <v>32.01</v>
      </c>
      <c r="AX15" s="2" t="str">
        <f t="shared" si="4"/>
        <v>Encolure dégagée</v>
      </c>
      <c r="AY15" s="2" t="str">
        <f t="shared" si="5"/>
        <v>Sans col</v>
      </c>
      <c r="AZ15" s="2" t="str">
        <f t="shared" si="6"/>
        <v>Style et occasions : robe femme polyvalente idéale pour fêtes costumées, soirées à thème, Oktoberfest, Halloween et cosplay, tout en restant élégante pour des sorties décontractées ou des événements festifs variés.</v>
      </c>
      <c r="BA15" s="2" t="str">
        <f t="shared" si="7"/>
        <v>Matières et confort : confectionnée dans des matières douces comme le velours, la dentelle ou le satin, offrant un port agréable, un toucher délicat et une grande aisance de mouvement tout au long de la journée.</v>
      </c>
      <c r="BB15" s="2" t="str">
        <f t="shared" si="8"/>
        <v>Coupe et silhouette : coupe A évasée et taille haute qui mettent la silhouette en valeur avec élégance, soulignant la taille et apportant une allure gracieuse et féminine en toute circonstance.</v>
      </c>
      <c r="BC15" s="2" t="str">
        <f t="shared" si="9"/>
        <v>Finitions et détails : finitions soignées avec volants, laçage croisé, nœud et tablier pour un style raffiné, romantique et festif qui attire les regards et donne du caractère à la tenue.</v>
      </c>
      <c r="BD15" s="2" t="str">
        <f t="shared" si="10"/>
        <v>Polyvalence et conseil : s’associe aussi bien aux tenues décontractées qu’aux costumes de scène et de spectacle ; avant l’achat, veuillez consulter le guide des tailles pour un ajustement parfait.</v>
      </c>
      <c r="BG15" s="2" t="str">
        <f t="shared" si="11"/>
        <v>Manche épaule dénudée</v>
      </c>
      <c r="BH15" s="2" t="str">
        <f t="shared" si="12"/>
        <v>Cordon de serrage</v>
      </c>
    </row>
    <row r="16" ht="50" hidden="1" customHeight="1" spans="1:60">
      <c r="A16" s="4" t="s">
        <v>137</v>
      </c>
      <c r="B16" s="2" t="s">
        <v>138</v>
      </c>
      <c r="C16" s="2" t="str">
        <f t="shared" si="1"/>
        <v>Es07Qsbfzhad5wJp</v>
      </c>
      <c r="D16" s="4" t="str">
        <f t="shared" si="2"/>
        <v>Jupe Gothique Femme Longueur Cheville Taille Haute Volants</v>
      </c>
      <c r="E16" s="4" t="str">
        <f t="shared" si="3"/>
        <v>Jacquard Texturé Œillets Métalliques Laçage Croisé Taille Haute Longueur Cheville Volants Multicouches Jupe Gothique</v>
      </c>
      <c r="F16" s="4">
        <f t="shared" si="0"/>
        <v>58</v>
      </c>
      <c r="H16" s="4"/>
      <c r="I16" s="4" t="s">
        <v>139</v>
      </c>
      <c r="J16" s="4" t="s">
        <v>110</v>
      </c>
      <c r="K16" s="2" t="s">
        <v>111</v>
      </c>
      <c r="L16" s="2" t="s">
        <v>65</v>
      </c>
      <c r="M16" s="4" t="s">
        <v>6</v>
      </c>
      <c r="N16" s="4" t="s">
        <v>7</v>
      </c>
      <c r="O16" s="4"/>
      <c r="P16" s="4" t="s">
        <v>140</v>
      </c>
      <c r="Q16" s="4" t="s">
        <v>141</v>
      </c>
      <c r="R16" s="4" t="s">
        <v>142</v>
      </c>
      <c r="S16" s="4" t="s">
        <v>143</v>
      </c>
      <c r="T16" s="4"/>
      <c r="U16" s="4"/>
      <c r="V16" s="4"/>
      <c r="W16" s="4"/>
      <c r="X16" s="4"/>
      <c r="Y16" s="4" t="s">
        <v>17</v>
      </c>
      <c r="Z16" s="4"/>
      <c r="AA16" s="4" t="s">
        <v>140</v>
      </c>
      <c r="AB16" s="4"/>
      <c r="AC16" s="4" t="s">
        <v>141</v>
      </c>
      <c r="AD16" s="4"/>
      <c r="AE16" s="4" t="s">
        <v>142</v>
      </c>
      <c r="AF16" s="4"/>
      <c r="AG16" s="4" t="s">
        <v>143</v>
      </c>
      <c r="AH16" s="4"/>
      <c r="AI16" s="4"/>
      <c r="AJ16" s="4"/>
      <c r="AK16" s="4"/>
      <c r="AL16" s="4"/>
      <c r="AM16" s="4"/>
      <c r="AN16" s="4"/>
      <c r="AO16" s="4"/>
      <c r="AP16" s="4"/>
      <c r="AQ16" s="4"/>
      <c r="AR16" s="4" t="s">
        <v>18</v>
      </c>
      <c r="AS16" s="4" t="s">
        <v>6</v>
      </c>
      <c r="AT16" s="4">
        <v>26.66</v>
      </c>
      <c r="AU16" s="4">
        <v>31.99</v>
      </c>
      <c r="AV16" s="4">
        <v>24.01</v>
      </c>
      <c r="AW16" s="4">
        <v>32.01</v>
      </c>
      <c r="AX16" s="2" t="str">
        <f t="shared" si="4"/>
        <v>Encolure dégagée</v>
      </c>
      <c r="AY16" s="2" t="str">
        <f t="shared" si="5"/>
        <v>Sans col</v>
      </c>
      <c r="AZ16" s="2" t="str">
        <f t="shared" si="6"/>
        <v>Style et occasions : robe femme polyvalente idéale pour fêtes costumées, soirées à thème, Oktoberfest, Halloween et cosplay, tout en restant élégante pour des sorties décontractées ou des événements festifs variés.</v>
      </c>
      <c r="BA16" s="2" t="str">
        <f t="shared" si="7"/>
        <v>Matières et confort : confectionnée dans des matières douces comme le velours, la dentelle ou le satin, offrant un port agréable, un toucher délicat et une grande aisance de mouvement tout au long de la journée.</v>
      </c>
      <c r="BB16" s="2" t="str">
        <f t="shared" si="8"/>
        <v>Coupe et silhouette : coupe A évasée et taille haute qui mettent la silhouette en valeur avec élégance, soulignant la taille et apportant une allure gracieuse et féminine en toute circonstance.</v>
      </c>
      <c r="BC16" s="2" t="str">
        <f t="shared" si="9"/>
        <v>Finitions et détails : finitions soignées avec volants, laçage croisé, nœud et tablier pour un style raffiné, romantique et festif qui attire les regards et donne du caractère à la tenue.</v>
      </c>
      <c r="BD16" s="2" t="str">
        <f t="shared" si="10"/>
        <v>Polyvalence et conseil : s’associe aussi bien aux tenues décontractées qu’aux costumes de scène et de spectacle ; avant l’achat, veuillez consulter le guide des tailles pour un ajustement parfait.</v>
      </c>
      <c r="BG16" s="2" t="str">
        <f t="shared" si="11"/>
        <v>Manche épaule dénudée</v>
      </c>
      <c r="BH16" s="2" t="str">
        <f t="shared" si="12"/>
        <v>Cordon de serrage</v>
      </c>
    </row>
    <row r="17" ht="50" hidden="1" customHeight="1" spans="1:60">
      <c r="A17" s="4" t="s">
        <v>144</v>
      </c>
      <c r="B17" s="2" t="s">
        <v>145</v>
      </c>
      <c r="C17" s="2" t="str">
        <f t="shared" si="1"/>
        <v>Es07Qsbfzhad5wJp</v>
      </c>
      <c r="D17" s="4" t="str">
        <f t="shared" si="2"/>
        <v>Jupe Gothique Femme Longueur Cheville Taille Haute Volants</v>
      </c>
      <c r="E17" s="4" t="str">
        <f t="shared" si="3"/>
        <v>Jacquard Texturé Œillets Métalliques Laçage Croisé Taille Haute Longueur Cheville Volants Multicouches Jupe Gothique</v>
      </c>
      <c r="F17" s="4">
        <f t="shared" si="0"/>
        <v>58</v>
      </c>
      <c r="H17" s="4"/>
      <c r="I17" s="4" t="s">
        <v>146</v>
      </c>
      <c r="J17" s="4" t="s">
        <v>147</v>
      </c>
      <c r="K17" s="2" t="s">
        <v>148</v>
      </c>
      <c r="L17" s="2" t="s">
        <v>33</v>
      </c>
      <c r="M17" s="4" t="s">
        <v>6</v>
      </c>
      <c r="N17" s="4" t="s">
        <v>7</v>
      </c>
      <c r="O17" s="4"/>
      <c r="P17" s="4" t="s">
        <v>149</v>
      </c>
      <c r="Q17" s="4" t="s">
        <v>150</v>
      </c>
      <c r="R17" s="4" t="s">
        <v>151</v>
      </c>
      <c r="S17" s="4" t="s">
        <v>152</v>
      </c>
      <c r="T17" s="4"/>
      <c r="U17" s="4"/>
      <c r="V17" s="4"/>
      <c r="W17" s="4"/>
      <c r="X17" s="4"/>
      <c r="Y17" s="4" t="s">
        <v>17</v>
      </c>
      <c r="Z17" s="4"/>
      <c r="AA17" s="4" t="s">
        <v>149</v>
      </c>
      <c r="AB17" s="4"/>
      <c r="AC17" s="4" t="s">
        <v>150</v>
      </c>
      <c r="AD17" s="4"/>
      <c r="AE17" s="4" t="s">
        <v>151</v>
      </c>
      <c r="AF17" s="4"/>
      <c r="AG17" s="4" t="s">
        <v>152</v>
      </c>
      <c r="AH17" s="4"/>
      <c r="AI17" s="4"/>
      <c r="AJ17" s="4"/>
      <c r="AK17" s="4"/>
      <c r="AL17" s="4"/>
      <c r="AM17" s="4"/>
      <c r="AN17" s="4"/>
      <c r="AO17" s="4"/>
      <c r="AP17" s="4"/>
      <c r="AQ17" s="4"/>
      <c r="AR17" s="4" t="s">
        <v>18</v>
      </c>
      <c r="AS17" s="4" t="s">
        <v>6</v>
      </c>
      <c r="AT17" s="4">
        <v>26.66</v>
      </c>
      <c r="AU17" s="4">
        <v>31.99</v>
      </c>
      <c r="AV17" s="4">
        <v>24.01</v>
      </c>
      <c r="AW17" s="4">
        <v>32.01</v>
      </c>
      <c r="AX17" s="2" t="str">
        <f t="shared" si="4"/>
        <v>Encolure dégagée</v>
      </c>
      <c r="AY17" s="2" t="str">
        <f t="shared" si="5"/>
        <v>Sans col</v>
      </c>
      <c r="AZ17" s="2" t="str">
        <f t="shared" si="6"/>
        <v>Style et occasions : robe femme polyvalente idéale pour fêtes costumées, soirées à thème, Oktoberfest, Halloween et cosplay, tout en restant élégante pour des sorties décontractées ou des événements festifs variés.</v>
      </c>
      <c r="BA17" s="2" t="str">
        <f t="shared" si="7"/>
        <v>Matières et confort : confectionnée dans des matières douces comme le velours, la dentelle ou le satin, offrant un port agréable, un toucher délicat et une grande aisance de mouvement tout au long de la journée.</v>
      </c>
      <c r="BB17" s="2" t="str">
        <f t="shared" si="8"/>
        <v>Coupe et silhouette : coupe A évasée et taille haute qui mettent la silhouette en valeur avec élégance, soulignant la taille et apportant une allure gracieuse et féminine en toute circonstance.</v>
      </c>
      <c r="BC17" s="2" t="str">
        <f t="shared" si="9"/>
        <v>Finitions et détails : finitions soignées avec volants, laçage croisé, nœud et tablier pour un style raffiné, romantique et festif qui attire les regards et donne du caractère à la tenue.</v>
      </c>
      <c r="BD17" s="2" t="str">
        <f t="shared" si="10"/>
        <v>Polyvalence et conseil : s’associe aussi bien aux tenues décontractées qu’aux costumes de scène et de spectacle ; avant l’achat, veuillez consulter le guide des tailles pour un ajustement parfait.</v>
      </c>
      <c r="BG17" s="2" t="str">
        <f t="shared" si="11"/>
        <v>Manche épaule dénudée</v>
      </c>
      <c r="BH17" s="2" t="str">
        <f t="shared" si="12"/>
        <v>Cordon de serrage</v>
      </c>
    </row>
    <row r="18" ht="50" hidden="1" customHeight="1" spans="1:60">
      <c r="A18" s="4" t="s">
        <v>153</v>
      </c>
      <c r="B18" s="2" t="s">
        <v>154</v>
      </c>
      <c r="C18" s="2" t="str">
        <f t="shared" si="1"/>
        <v>Es07Qsbfzhad5wJp</v>
      </c>
      <c r="D18" s="4" t="str">
        <f t="shared" si="2"/>
        <v>Jupe Gothique Femme Longueur Cheville Taille Haute Volants</v>
      </c>
      <c r="E18" s="4" t="str">
        <f t="shared" si="3"/>
        <v>Jacquard Texturé Œillets Métalliques Laçage Croisé Taille Haute Longueur Cheville Volants Multicouches Jupe Gothique</v>
      </c>
      <c r="F18" s="4">
        <f t="shared" si="0"/>
        <v>58</v>
      </c>
      <c r="H18" s="4"/>
      <c r="I18" s="4" t="s">
        <v>155</v>
      </c>
      <c r="J18" s="4" t="s">
        <v>147</v>
      </c>
      <c r="K18" s="2" t="s">
        <v>148</v>
      </c>
      <c r="L18" s="2" t="s">
        <v>41</v>
      </c>
      <c r="M18" s="4" t="s">
        <v>6</v>
      </c>
      <c r="N18" s="4" t="s">
        <v>7</v>
      </c>
      <c r="O18" s="4"/>
      <c r="P18" s="4" t="s">
        <v>156</v>
      </c>
      <c r="Q18" s="4" t="s">
        <v>157</v>
      </c>
      <c r="R18" s="4" t="s">
        <v>158</v>
      </c>
      <c r="S18" s="4" t="s">
        <v>159</v>
      </c>
      <c r="T18" s="4"/>
      <c r="U18" s="4"/>
      <c r="V18" s="4"/>
      <c r="W18" s="4"/>
      <c r="X18" s="4"/>
      <c r="Y18" s="4" t="s">
        <v>17</v>
      </c>
      <c r="Z18" s="4"/>
      <c r="AA18" s="4" t="s">
        <v>156</v>
      </c>
      <c r="AB18" s="4"/>
      <c r="AC18" s="4" t="s">
        <v>157</v>
      </c>
      <c r="AD18" s="4"/>
      <c r="AE18" s="4" t="s">
        <v>158</v>
      </c>
      <c r="AF18" s="4"/>
      <c r="AG18" s="4" t="s">
        <v>159</v>
      </c>
      <c r="AH18" s="4"/>
      <c r="AI18" s="4"/>
      <c r="AJ18" s="4"/>
      <c r="AK18" s="4"/>
      <c r="AL18" s="4"/>
      <c r="AM18" s="4"/>
      <c r="AN18" s="4"/>
      <c r="AO18" s="4"/>
      <c r="AP18" s="4"/>
      <c r="AQ18" s="4"/>
      <c r="AR18" s="4" t="s">
        <v>18</v>
      </c>
      <c r="AS18" s="4" t="s">
        <v>6</v>
      </c>
      <c r="AT18" s="4">
        <v>26.66</v>
      </c>
      <c r="AU18" s="4">
        <v>31.99</v>
      </c>
      <c r="AV18" s="4">
        <v>24.01</v>
      </c>
      <c r="AW18" s="4">
        <v>32.01</v>
      </c>
      <c r="AX18" s="2" t="str">
        <f t="shared" si="4"/>
        <v>Encolure dégagée</v>
      </c>
      <c r="AY18" s="2" t="str">
        <f t="shared" si="5"/>
        <v>Sans col</v>
      </c>
      <c r="AZ18" s="2" t="str">
        <f t="shared" si="6"/>
        <v>Style et occasions : robe femme polyvalente idéale pour fêtes costumées, soirées à thème, Oktoberfest, Halloween et cosplay, tout en restant élégante pour des sorties décontractées ou des événements festifs variés.</v>
      </c>
      <c r="BA18" s="2" t="str">
        <f t="shared" si="7"/>
        <v>Matières et confort : confectionnée dans des matières douces comme le velours, la dentelle ou le satin, offrant un port agréable, un toucher délicat et une grande aisance de mouvement tout au long de la journée.</v>
      </c>
      <c r="BB18" s="2" t="str">
        <f t="shared" si="8"/>
        <v>Coupe et silhouette : coupe A évasée et taille haute qui mettent la silhouette en valeur avec élégance, soulignant la taille et apportant une allure gracieuse et féminine en toute circonstance.</v>
      </c>
      <c r="BC18" s="2" t="str">
        <f t="shared" si="9"/>
        <v>Finitions et détails : finitions soignées avec volants, laçage croisé, nœud et tablier pour un style raffiné, romantique et festif qui attire les regards et donne du caractère à la tenue.</v>
      </c>
      <c r="BD18" s="2" t="str">
        <f t="shared" si="10"/>
        <v>Polyvalence et conseil : s’associe aussi bien aux tenues décontractées qu’aux costumes de scène et de spectacle ; avant l’achat, veuillez consulter le guide des tailles pour un ajustement parfait.</v>
      </c>
      <c r="BG18" s="2" t="str">
        <f t="shared" si="11"/>
        <v>Manche épaule dénudée</v>
      </c>
      <c r="BH18" s="2" t="str">
        <f t="shared" si="12"/>
        <v>Cordon de serrage</v>
      </c>
    </row>
    <row r="19" ht="50" hidden="1" customHeight="1" spans="1:60">
      <c r="A19" s="4" t="s">
        <v>160</v>
      </c>
      <c r="B19" s="2" t="s">
        <v>161</v>
      </c>
      <c r="C19" s="2" t="str">
        <f t="shared" si="1"/>
        <v>Es07Qsbfzhad5wJp</v>
      </c>
      <c r="D19" s="4" t="str">
        <f t="shared" si="2"/>
        <v>Jupe Gothique Femme Longueur Cheville Taille Haute Volants</v>
      </c>
      <c r="E19" s="4" t="str">
        <f t="shared" si="3"/>
        <v>Jacquard Texturé Œillets Métalliques Laçage Croisé Taille Haute Longueur Cheville Volants Multicouches Jupe Gothique</v>
      </c>
      <c r="F19" s="4">
        <f t="shared" si="0"/>
        <v>58</v>
      </c>
      <c r="H19" s="4"/>
      <c r="I19" s="4" t="s">
        <v>162</v>
      </c>
      <c r="J19" s="4" t="s">
        <v>147</v>
      </c>
      <c r="K19" s="2" t="s">
        <v>148</v>
      </c>
      <c r="L19" s="2" t="s">
        <v>49</v>
      </c>
      <c r="M19" s="4" t="s">
        <v>6</v>
      </c>
      <c r="N19" s="4" t="s">
        <v>7</v>
      </c>
      <c r="O19" s="4"/>
      <c r="P19" s="4" t="s">
        <v>163</v>
      </c>
      <c r="Q19" s="4" t="s">
        <v>164</v>
      </c>
      <c r="R19" s="4" t="s">
        <v>165</v>
      </c>
      <c r="S19" s="4" t="s">
        <v>166</v>
      </c>
      <c r="T19" s="4"/>
      <c r="U19" s="4"/>
      <c r="V19" s="4"/>
      <c r="W19" s="4"/>
      <c r="X19" s="4"/>
      <c r="Y19" s="4" t="s">
        <v>17</v>
      </c>
      <c r="Z19" s="4"/>
      <c r="AA19" s="4" t="s">
        <v>163</v>
      </c>
      <c r="AB19" s="4"/>
      <c r="AC19" s="4" t="s">
        <v>164</v>
      </c>
      <c r="AD19" s="4"/>
      <c r="AE19" s="4" t="s">
        <v>165</v>
      </c>
      <c r="AF19" s="4"/>
      <c r="AG19" s="4" t="s">
        <v>166</v>
      </c>
      <c r="AH19" s="4"/>
      <c r="AI19" s="4"/>
      <c r="AJ19" s="4"/>
      <c r="AK19" s="4"/>
      <c r="AL19" s="4"/>
      <c r="AM19" s="4"/>
      <c r="AN19" s="4"/>
      <c r="AO19" s="4"/>
      <c r="AP19" s="4"/>
      <c r="AQ19" s="4"/>
      <c r="AR19" s="4" t="s">
        <v>18</v>
      </c>
      <c r="AS19" s="4" t="s">
        <v>6</v>
      </c>
      <c r="AT19" s="4">
        <v>26.66</v>
      </c>
      <c r="AU19" s="4">
        <v>31.99</v>
      </c>
      <c r="AV19" s="4">
        <v>24.01</v>
      </c>
      <c r="AW19" s="4">
        <v>32.01</v>
      </c>
      <c r="AX19" s="2" t="str">
        <f t="shared" si="4"/>
        <v>Encolure dégagée</v>
      </c>
      <c r="AY19" s="2" t="str">
        <f t="shared" si="5"/>
        <v>Sans col</v>
      </c>
      <c r="AZ19" s="2" t="str">
        <f t="shared" si="6"/>
        <v>Style et occasions : robe femme polyvalente idéale pour fêtes costumées, soirées à thème, Oktoberfest, Halloween et cosplay, tout en restant élégante pour des sorties décontractées ou des événements festifs variés.</v>
      </c>
      <c r="BA19" s="2" t="str">
        <f t="shared" si="7"/>
        <v>Matières et confort : confectionnée dans des matières douces comme le velours, la dentelle ou le satin, offrant un port agréable, un toucher délicat et une grande aisance de mouvement tout au long de la journée.</v>
      </c>
      <c r="BB19" s="2" t="str">
        <f t="shared" si="8"/>
        <v>Coupe et silhouette : coupe A évasée et taille haute qui mettent la silhouette en valeur avec élégance, soulignant la taille et apportant une allure gracieuse et féminine en toute circonstance.</v>
      </c>
      <c r="BC19" s="2" t="str">
        <f t="shared" si="9"/>
        <v>Finitions et détails : finitions soignées avec volants, laçage croisé, nœud et tablier pour un style raffiné, romantique et festif qui attire les regards et donne du caractère à la tenue.</v>
      </c>
      <c r="BD19" s="2" t="str">
        <f t="shared" si="10"/>
        <v>Polyvalence et conseil : s’associe aussi bien aux tenues décontractées qu’aux costumes de scène et de spectacle ; avant l’achat, veuillez consulter le guide des tailles pour un ajustement parfait.</v>
      </c>
      <c r="BG19" s="2" t="str">
        <f t="shared" si="11"/>
        <v>Manche épaule dénudée</v>
      </c>
      <c r="BH19" s="2" t="str">
        <f t="shared" si="12"/>
        <v>Cordon de serrage</v>
      </c>
    </row>
    <row r="20" ht="50" hidden="1" customHeight="1" spans="1:60">
      <c r="A20" s="4" t="s">
        <v>167</v>
      </c>
      <c r="B20" s="2" t="s">
        <v>168</v>
      </c>
      <c r="C20" s="2" t="str">
        <f t="shared" si="1"/>
        <v>Es07Qsbfzhad5wJp</v>
      </c>
      <c r="D20" s="4" t="str">
        <f t="shared" si="2"/>
        <v>Jupe Gothique Femme Longueur Cheville Taille Haute Volants</v>
      </c>
      <c r="E20" s="4" t="str">
        <f t="shared" si="3"/>
        <v>Jacquard Texturé Œillets Métalliques Laçage Croisé Taille Haute Longueur Cheville Volants Multicouches Jupe Gothique</v>
      </c>
      <c r="F20" s="4">
        <f t="shared" si="0"/>
        <v>58</v>
      </c>
      <c r="H20" s="4"/>
      <c r="I20" s="4" t="s">
        <v>169</v>
      </c>
      <c r="J20" s="4" t="s">
        <v>147</v>
      </c>
      <c r="K20" s="2" t="s">
        <v>148</v>
      </c>
      <c r="L20" s="2" t="s">
        <v>57</v>
      </c>
      <c r="M20" s="4" t="s">
        <v>6</v>
      </c>
      <c r="N20" s="4" t="s">
        <v>7</v>
      </c>
      <c r="O20" s="4"/>
      <c r="P20" s="4" t="s">
        <v>170</v>
      </c>
      <c r="Q20" s="4" t="s">
        <v>171</v>
      </c>
      <c r="R20" s="4" t="s">
        <v>172</v>
      </c>
      <c r="S20" s="4" t="s">
        <v>173</v>
      </c>
      <c r="T20" s="4"/>
      <c r="U20" s="4"/>
      <c r="V20" s="4"/>
      <c r="W20" s="4"/>
      <c r="X20" s="4"/>
      <c r="Y20" s="4" t="s">
        <v>17</v>
      </c>
      <c r="Z20" s="4"/>
      <c r="AA20" s="4" t="s">
        <v>170</v>
      </c>
      <c r="AB20" s="4"/>
      <c r="AC20" s="4" t="s">
        <v>171</v>
      </c>
      <c r="AD20" s="4"/>
      <c r="AE20" s="4" t="s">
        <v>172</v>
      </c>
      <c r="AF20" s="4"/>
      <c r="AG20" s="4" t="s">
        <v>173</v>
      </c>
      <c r="AH20" s="4"/>
      <c r="AI20" s="4"/>
      <c r="AJ20" s="4"/>
      <c r="AK20" s="4"/>
      <c r="AL20" s="4"/>
      <c r="AM20" s="4"/>
      <c r="AN20" s="4"/>
      <c r="AO20" s="4"/>
      <c r="AP20" s="4"/>
      <c r="AQ20" s="4"/>
      <c r="AR20" s="4" t="s">
        <v>18</v>
      </c>
      <c r="AS20" s="4" t="s">
        <v>6</v>
      </c>
      <c r="AT20" s="4">
        <v>26.66</v>
      </c>
      <c r="AU20" s="4">
        <v>31.99</v>
      </c>
      <c r="AV20" s="4">
        <v>24.01</v>
      </c>
      <c r="AW20" s="4">
        <v>32.01</v>
      </c>
      <c r="AX20" s="2" t="str">
        <f t="shared" si="4"/>
        <v>Encolure dégagée</v>
      </c>
      <c r="AY20" s="2" t="str">
        <f t="shared" si="5"/>
        <v>Sans col</v>
      </c>
      <c r="AZ20" s="2" t="str">
        <f t="shared" si="6"/>
        <v>Style et occasions : robe femme polyvalente idéale pour fêtes costumées, soirées à thème, Oktoberfest, Halloween et cosplay, tout en restant élégante pour des sorties décontractées ou des événements festifs variés.</v>
      </c>
      <c r="BA20" s="2" t="str">
        <f t="shared" si="7"/>
        <v>Matières et confort : confectionnée dans des matières douces comme le velours, la dentelle ou le satin, offrant un port agréable, un toucher délicat et une grande aisance de mouvement tout au long de la journée.</v>
      </c>
      <c r="BB20" s="2" t="str">
        <f t="shared" si="8"/>
        <v>Coupe et silhouette : coupe A évasée et taille haute qui mettent la silhouette en valeur avec élégance, soulignant la taille et apportant une allure gracieuse et féminine en toute circonstance.</v>
      </c>
      <c r="BC20" s="2" t="str">
        <f t="shared" si="9"/>
        <v>Finitions et détails : finitions soignées avec volants, laçage croisé, nœud et tablier pour un style raffiné, romantique et festif qui attire les regards et donne du caractère à la tenue.</v>
      </c>
      <c r="BD20" s="2" t="str">
        <f t="shared" si="10"/>
        <v>Polyvalence et conseil : s’associe aussi bien aux tenues décontractées qu’aux costumes de scène et de spectacle ; avant l’achat, veuillez consulter le guide des tailles pour un ajustement parfait.</v>
      </c>
      <c r="BG20" s="2" t="str">
        <f t="shared" si="11"/>
        <v>Manche épaule dénudée</v>
      </c>
      <c r="BH20" s="2" t="str">
        <f t="shared" si="12"/>
        <v>Cordon de serrage</v>
      </c>
    </row>
    <row r="21" ht="50" hidden="1" customHeight="1" spans="1:60">
      <c r="A21" s="4" t="s">
        <v>174</v>
      </c>
      <c r="B21" s="2" t="s">
        <v>175</v>
      </c>
      <c r="C21" s="2" t="str">
        <f t="shared" si="1"/>
        <v>Es07Qsbfzhad5wJp</v>
      </c>
      <c r="D21" s="4" t="str">
        <f t="shared" si="2"/>
        <v>Jupe Gothique Femme Longueur Cheville Taille Haute Volants</v>
      </c>
      <c r="E21" s="4" t="str">
        <f t="shared" si="3"/>
        <v>Jacquard Texturé Œillets Métalliques Laçage Croisé Taille Haute Longueur Cheville Volants Multicouches Jupe Gothique</v>
      </c>
      <c r="F21" s="4">
        <f t="shared" si="0"/>
        <v>58</v>
      </c>
      <c r="H21" s="4"/>
      <c r="I21" s="4" t="s">
        <v>176</v>
      </c>
      <c r="J21" s="4" t="s">
        <v>147</v>
      </c>
      <c r="K21" s="2" t="s">
        <v>148</v>
      </c>
      <c r="L21" s="2" t="s">
        <v>65</v>
      </c>
      <c r="M21" s="4" t="s">
        <v>6</v>
      </c>
      <c r="N21" s="4" t="s">
        <v>7</v>
      </c>
      <c r="O21" s="4"/>
      <c r="P21" s="4" t="s">
        <v>177</v>
      </c>
      <c r="Q21" s="4" t="s">
        <v>178</v>
      </c>
      <c r="R21" s="4" t="s">
        <v>179</v>
      </c>
      <c r="S21" s="4" t="s">
        <v>180</v>
      </c>
      <c r="T21" s="4"/>
      <c r="U21" s="4"/>
      <c r="V21" s="4"/>
      <c r="W21" s="4"/>
      <c r="X21" s="4"/>
      <c r="Y21" s="4" t="s">
        <v>17</v>
      </c>
      <c r="Z21" s="4"/>
      <c r="AA21" s="4" t="s">
        <v>177</v>
      </c>
      <c r="AB21" s="4"/>
      <c r="AC21" s="4" t="s">
        <v>178</v>
      </c>
      <c r="AD21" s="4"/>
      <c r="AE21" s="4" t="s">
        <v>179</v>
      </c>
      <c r="AF21" s="4"/>
      <c r="AG21" s="4" t="s">
        <v>180</v>
      </c>
      <c r="AH21" s="4"/>
      <c r="AI21" s="4"/>
      <c r="AJ21" s="4"/>
      <c r="AK21" s="4"/>
      <c r="AL21" s="4"/>
      <c r="AM21" s="4"/>
      <c r="AN21" s="4"/>
      <c r="AO21" s="4"/>
      <c r="AP21" s="4"/>
      <c r="AQ21" s="4"/>
      <c r="AR21" s="4" t="s">
        <v>18</v>
      </c>
      <c r="AS21" s="4" t="s">
        <v>6</v>
      </c>
      <c r="AT21" s="4">
        <v>26.66</v>
      </c>
      <c r="AU21" s="4">
        <v>31.99</v>
      </c>
      <c r="AV21" s="4">
        <v>24.01</v>
      </c>
      <c r="AW21" s="4">
        <v>32.01</v>
      </c>
      <c r="AX21" s="2" t="str">
        <f t="shared" si="4"/>
        <v>Encolure dégagée</v>
      </c>
      <c r="AY21" s="2" t="str">
        <f t="shared" si="5"/>
        <v>Sans col</v>
      </c>
      <c r="AZ21" s="2" t="str">
        <f t="shared" si="6"/>
        <v>Style et occasions : robe femme polyvalente idéale pour fêtes costumées, soirées à thème, Oktoberfest, Halloween et cosplay, tout en restant élégante pour des sorties décontractées ou des événements festifs variés.</v>
      </c>
      <c r="BA21" s="2" t="str">
        <f t="shared" si="7"/>
        <v>Matières et confort : confectionnée dans des matières douces comme le velours, la dentelle ou le satin, offrant un port agréable, un toucher délicat et une grande aisance de mouvement tout au long de la journée.</v>
      </c>
      <c r="BB21" s="2" t="str">
        <f t="shared" si="8"/>
        <v>Coupe et silhouette : coupe A évasée et taille haute qui mettent la silhouette en valeur avec élégance, soulignant la taille et apportant une allure gracieuse et féminine en toute circonstance.</v>
      </c>
      <c r="BC21" s="2" t="str">
        <f t="shared" si="9"/>
        <v>Finitions et détails : finitions soignées avec volants, laçage croisé, nœud et tablier pour un style raffiné, romantique et festif qui attire les regards et donne du caractère à la tenue.</v>
      </c>
      <c r="BD21" s="2" t="str">
        <f t="shared" si="10"/>
        <v>Polyvalence et conseil : s’associe aussi bien aux tenues décontractées qu’aux costumes de scène et de spectacle ; avant l’achat, veuillez consulter le guide des tailles pour un ajustement parfait.</v>
      </c>
      <c r="BG21" s="2" t="str">
        <f t="shared" si="11"/>
        <v>Manche épaule dénudée</v>
      </c>
      <c r="BH21" s="2" t="str">
        <f t="shared" si="12"/>
        <v>Cordon de serrage</v>
      </c>
    </row>
    <row r="22" ht="50" hidden="1" customHeight="1" spans="1:60">
      <c r="A22" s="4" t="s">
        <v>181</v>
      </c>
      <c r="B22" s="2" t="s">
        <v>182</v>
      </c>
      <c r="C22" s="2" t="str">
        <f t="shared" si="1"/>
        <v>Es07Qsbfzhad5wJp</v>
      </c>
      <c r="D22" s="4" t="str">
        <f t="shared" si="2"/>
        <v>Jupe Gothique Femme Longueur Cheville Taille Haute Volants</v>
      </c>
      <c r="E22" s="4" t="str">
        <f t="shared" si="3"/>
        <v>Jacquard Texturé Œillets Métalliques Laçage Croisé Taille Haute Longueur Cheville Volants Multicouches Jupe Gothique</v>
      </c>
      <c r="F22" s="4">
        <f t="shared" si="0"/>
        <v>58</v>
      </c>
      <c r="H22" s="4"/>
      <c r="I22" s="4" t="s">
        <v>183</v>
      </c>
      <c r="J22" s="4" t="s">
        <v>184</v>
      </c>
      <c r="K22" s="2" t="s">
        <v>185</v>
      </c>
      <c r="L22" s="2" t="s">
        <v>33</v>
      </c>
      <c r="M22" s="4" t="s">
        <v>6</v>
      </c>
      <c r="N22" s="4" t="s">
        <v>7</v>
      </c>
      <c r="O22" s="4"/>
      <c r="P22" s="4" t="s">
        <v>186</v>
      </c>
      <c r="Q22" s="4" t="s">
        <v>187</v>
      </c>
      <c r="R22" s="4" t="s">
        <v>188</v>
      </c>
      <c r="S22" s="4" t="s">
        <v>189</v>
      </c>
      <c r="T22" s="4"/>
      <c r="U22" s="4"/>
      <c r="V22" s="4"/>
      <c r="W22" s="4"/>
      <c r="X22" s="4"/>
      <c r="Y22" s="4" t="s">
        <v>17</v>
      </c>
      <c r="Z22" s="4"/>
      <c r="AA22" s="4" t="s">
        <v>186</v>
      </c>
      <c r="AB22" s="4"/>
      <c r="AC22" s="4" t="s">
        <v>187</v>
      </c>
      <c r="AD22" s="4"/>
      <c r="AE22" s="4" t="s">
        <v>188</v>
      </c>
      <c r="AF22" s="4"/>
      <c r="AG22" s="4" t="s">
        <v>189</v>
      </c>
      <c r="AH22" s="4"/>
      <c r="AI22" s="4"/>
      <c r="AJ22" s="4"/>
      <c r="AK22" s="4"/>
      <c r="AL22" s="4"/>
      <c r="AM22" s="4"/>
      <c r="AN22" s="4"/>
      <c r="AO22" s="4"/>
      <c r="AP22" s="4"/>
      <c r="AQ22" s="4"/>
      <c r="AR22" s="4" t="s">
        <v>18</v>
      </c>
      <c r="AS22" s="4" t="s">
        <v>6</v>
      </c>
      <c r="AT22" s="4">
        <v>26.66</v>
      </c>
      <c r="AU22" s="4">
        <v>31.99</v>
      </c>
      <c r="AV22" s="4">
        <v>24.01</v>
      </c>
      <c r="AW22" s="4">
        <v>32.01</v>
      </c>
      <c r="AX22" s="2" t="str">
        <f t="shared" si="4"/>
        <v>Encolure dégagée</v>
      </c>
      <c r="AY22" s="2" t="str">
        <f t="shared" si="5"/>
        <v>Sans col</v>
      </c>
      <c r="AZ22" s="2" t="str">
        <f t="shared" si="6"/>
        <v>Style et occasions : robe femme polyvalente idéale pour fêtes costumées, soirées à thème, Oktoberfest, Halloween et cosplay, tout en restant élégante pour des sorties décontractées ou des événements festifs variés.</v>
      </c>
      <c r="BA22" s="2" t="str">
        <f t="shared" si="7"/>
        <v>Matières et confort : confectionnée dans des matières douces comme le velours, la dentelle ou le satin, offrant un port agréable, un toucher délicat et une grande aisance de mouvement tout au long de la journée.</v>
      </c>
      <c r="BB22" s="2" t="str">
        <f t="shared" si="8"/>
        <v>Coupe et silhouette : coupe A évasée et taille haute qui mettent la silhouette en valeur avec élégance, soulignant la taille et apportant une allure gracieuse et féminine en toute circonstance.</v>
      </c>
      <c r="BC22" s="2" t="str">
        <f t="shared" si="9"/>
        <v>Finitions et détails : finitions soignées avec volants, laçage croisé, nœud et tablier pour un style raffiné, romantique et festif qui attire les regards et donne du caractère à la tenue.</v>
      </c>
      <c r="BD22" s="2" t="str">
        <f t="shared" si="10"/>
        <v>Polyvalence et conseil : s’associe aussi bien aux tenues décontractées qu’aux costumes de scène et de spectacle ; avant l’achat, veuillez consulter le guide des tailles pour un ajustement parfait.</v>
      </c>
      <c r="BG22" s="2" t="str">
        <f t="shared" si="11"/>
        <v>Manche épaule dénudée</v>
      </c>
      <c r="BH22" s="2" t="str">
        <f t="shared" si="12"/>
        <v>Cordon de serrage</v>
      </c>
    </row>
    <row r="23" ht="50" hidden="1" customHeight="1" spans="1:60">
      <c r="A23" s="4" t="s">
        <v>190</v>
      </c>
      <c r="B23" s="2" t="s">
        <v>191</v>
      </c>
      <c r="C23" s="2" t="str">
        <f t="shared" si="1"/>
        <v>Es07Qsbfzhad5wJp</v>
      </c>
      <c r="D23" s="4" t="str">
        <f t="shared" si="2"/>
        <v>Jupe Gothique Femme Longueur Cheville Taille Haute Volants</v>
      </c>
      <c r="E23" s="4" t="str">
        <f t="shared" si="3"/>
        <v>Jacquard Texturé Œillets Métalliques Laçage Croisé Taille Haute Longueur Cheville Volants Multicouches Jupe Gothique</v>
      </c>
      <c r="F23" s="4">
        <f t="shared" si="0"/>
        <v>58</v>
      </c>
      <c r="H23" s="4"/>
      <c r="I23" s="4" t="s">
        <v>192</v>
      </c>
      <c r="J23" s="4" t="s">
        <v>184</v>
      </c>
      <c r="K23" s="2" t="s">
        <v>185</v>
      </c>
      <c r="L23" s="2" t="s">
        <v>41</v>
      </c>
      <c r="M23" s="4" t="s">
        <v>6</v>
      </c>
      <c r="N23" s="4" t="s">
        <v>7</v>
      </c>
      <c r="O23" s="4"/>
      <c r="P23" s="4" t="s">
        <v>193</v>
      </c>
      <c r="Q23" s="4" t="s">
        <v>194</v>
      </c>
      <c r="R23" s="4" t="s">
        <v>195</v>
      </c>
      <c r="S23" s="4" t="s">
        <v>196</v>
      </c>
      <c r="T23" s="4"/>
      <c r="U23" s="4"/>
      <c r="V23" s="4"/>
      <c r="W23" s="4"/>
      <c r="X23" s="4"/>
      <c r="Y23" s="4" t="s">
        <v>17</v>
      </c>
      <c r="Z23" s="4"/>
      <c r="AA23" s="4" t="s">
        <v>193</v>
      </c>
      <c r="AB23" s="4"/>
      <c r="AC23" s="4" t="s">
        <v>194</v>
      </c>
      <c r="AD23" s="4"/>
      <c r="AE23" s="4" t="s">
        <v>195</v>
      </c>
      <c r="AF23" s="4"/>
      <c r="AG23" s="4" t="s">
        <v>196</v>
      </c>
      <c r="AH23" s="4"/>
      <c r="AI23" s="4"/>
      <c r="AJ23" s="4"/>
      <c r="AK23" s="4"/>
      <c r="AL23" s="4"/>
      <c r="AM23" s="4"/>
      <c r="AN23" s="4"/>
      <c r="AO23" s="4"/>
      <c r="AP23" s="4"/>
      <c r="AQ23" s="4"/>
      <c r="AR23" s="4" t="s">
        <v>18</v>
      </c>
      <c r="AS23" s="4" t="s">
        <v>6</v>
      </c>
      <c r="AT23" s="4">
        <v>26.66</v>
      </c>
      <c r="AU23" s="4">
        <v>31.99</v>
      </c>
      <c r="AV23" s="4">
        <v>24.01</v>
      </c>
      <c r="AW23" s="4">
        <v>32.01</v>
      </c>
      <c r="AX23" s="2" t="str">
        <f t="shared" si="4"/>
        <v>Encolure dégagée</v>
      </c>
      <c r="AY23" s="2" t="str">
        <f t="shared" si="5"/>
        <v>Sans col</v>
      </c>
      <c r="AZ23" s="2" t="str">
        <f t="shared" si="6"/>
        <v>Style et occasions : robe femme polyvalente idéale pour fêtes costumées, soirées à thème, Oktoberfest, Halloween et cosplay, tout en restant élégante pour des sorties décontractées ou des événements festifs variés.</v>
      </c>
      <c r="BA23" s="2" t="str">
        <f t="shared" si="7"/>
        <v>Matières et confort : confectionnée dans des matières douces comme le velours, la dentelle ou le satin, offrant un port agréable, un toucher délicat et une grande aisance de mouvement tout au long de la journée.</v>
      </c>
      <c r="BB23" s="2" t="str">
        <f t="shared" si="8"/>
        <v>Coupe et silhouette : coupe A évasée et taille haute qui mettent la silhouette en valeur avec élégance, soulignant la taille et apportant une allure gracieuse et féminine en toute circonstance.</v>
      </c>
      <c r="BC23" s="2" t="str">
        <f t="shared" si="9"/>
        <v>Finitions et détails : finitions soignées avec volants, laçage croisé, nœud et tablier pour un style raffiné, romantique et festif qui attire les regards et donne du caractère à la tenue.</v>
      </c>
      <c r="BD23" s="2" t="str">
        <f t="shared" si="10"/>
        <v>Polyvalence et conseil : s’associe aussi bien aux tenues décontractées qu’aux costumes de scène et de spectacle ; avant l’achat, veuillez consulter le guide des tailles pour un ajustement parfait.</v>
      </c>
      <c r="BG23" s="2" t="str">
        <f t="shared" si="11"/>
        <v>Manche épaule dénudée</v>
      </c>
      <c r="BH23" s="2" t="str">
        <f t="shared" si="12"/>
        <v>Cordon de serrage</v>
      </c>
    </row>
    <row r="24" ht="50" hidden="1" customHeight="1" spans="1:60">
      <c r="A24" s="4" t="s">
        <v>197</v>
      </c>
      <c r="B24" s="2" t="s">
        <v>198</v>
      </c>
      <c r="C24" s="2" t="str">
        <f t="shared" si="1"/>
        <v>Es07Qsbfzhad5wJp</v>
      </c>
      <c r="D24" s="4" t="str">
        <f t="shared" si="2"/>
        <v>Jupe Gothique Femme Longueur Cheville Taille Haute Volants</v>
      </c>
      <c r="E24" s="4" t="str">
        <f t="shared" si="3"/>
        <v>Jacquard Texturé Œillets Métalliques Laçage Croisé Taille Haute Longueur Cheville Volants Multicouches Jupe Gothique</v>
      </c>
      <c r="F24" s="4">
        <f t="shared" si="0"/>
        <v>58</v>
      </c>
      <c r="H24" s="4"/>
      <c r="I24" s="4" t="s">
        <v>199</v>
      </c>
      <c r="J24" s="4" t="s">
        <v>184</v>
      </c>
      <c r="K24" s="2" t="s">
        <v>185</v>
      </c>
      <c r="L24" s="2" t="s">
        <v>49</v>
      </c>
      <c r="M24" s="4" t="s">
        <v>6</v>
      </c>
      <c r="N24" s="4" t="s">
        <v>7</v>
      </c>
      <c r="O24" s="4"/>
      <c r="P24" s="4" t="s">
        <v>200</v>
      </c>
      <c r="Q24" s="4" t="s">
        <v>201</v>
      </c>
      <c r="R24" s="4" t="s">
        <v>202</v>
      </c>
      <c r="S24" s="4" t="s">
        <v>203</v>
      </c>
      <c r="T24" s="4"/>
      <c r="U24" s="4"/>
      <c r="V24" s="4"/>
      <c r="W24" s="4"/>
      <c r="X24" s="4"/>
      <c r="Y24" s="4" t="s">
        <v>17</v>
      </c>
      <c r="Z24" s="4"/>
      <c r="AA24" s="4" t="s">
        <v>200</v>
      </c>
      <c r="AB24" s="4"/>
      <c r="AC24" s="4" t="s">
        <v>201</v>
      </c>
      <c r="AD24" s="4"/>
      <c r="AE24" s="4" t="s">
        <v>202</v>
      </c>
      <c r="AF24" s="4"/>
      <c r="AG24" s="4" t="s">
        <v>203</v>
      </c>
      <c r="AH24" s="4"/>
      <c r="AI24" s="4"/>
      <c r="AJ24" s="4"/>
      <c r="AK24" s="4"/>
      <c r="AL24" s="4"/>
      <c r="AM24" s="4"/>
      <c r="AN24" s="4"/>
      <c r="AO24" s="4"/>
      <c r="AP24" s="4"/>
      <c r="AQ24" s="4"/>
      <c r="AR24" s="4" t="s">
        <v>18</v>
      </c>
      <c r="AS24" s="4" t="s">
        <v>6</v>
      </c>
      <c r="AT24" s="4">
        <v>26.66</v>
      </c>
      <c r="AU24" s="4">
        <v>31.99</v>
      </c>
      <c r="AV24" s="4">
        <v>24.01</v>
      </c>
      <c r="AW24" s="4">
        <v>32.01</v>
      </c>
      <c r="AX24" s="2" t="str">
        <f t="shared" si="4"/>
        <v>Encolure dégagée</v>
      </c>
      <c r="AY24" s="2" t="str">
        <f t="shared" si="5"/>
        <v>Sans col</v>
      </c>
      <c r="AZ24" s="2" t="str">
        <f t="shared" si="6"/>
        <v>Style et occasions : robe femme polyvalente idéale pour fêtes costumées, soirées à thème, Oktoberfest, Halloween et cosplay, tout en restant élégante pour des sorties décontractées ou des événements festifs variés.</v>
      </c>
      <c r="BA24" s="2" t="str">
        <f t="shared" si="7"/>
        <v>Matières et confort : confectionnée dans des matières douces comme le velours, la dentelle ou le satin, offrant un port agréable, un toucher délicat et une grande aisance de mouvement tout au long de la journée.</v>
      </c>
      <c r="BB24" s="2" t="str">
        <f t="shared" si="8"/>
        <v>Coupe et silhouette : coupe A évasée et taille haute qui mettent la silhouette en valeur avec élégance, soulignant la taille et apportant une allure gracieuse et féminine en toute circonstance.</v>
      </c>
      <c r="BC24" s="2" t="str">
        <f t="shared" si="9"/>
        <v>Finitions et détails : finitions soignées avec volants, laçage croisé, nœud et tablier pour un style raffiné, romantique et festif qui attire les regards et donne du caractère à la tenue.</v>
      </c>
      <c r="BD24" s="2" t="str">
        <f t="shared" si="10"/>
        <v>Polyvalence et conseil : s’associe aussi bien aux tenues décontractées qu’aux costumes de scène et de spectacle ; avant l’achat, veuillez consulter le guide des tailles pour un ajustement parfait.</v>
      </c>
      <c r="BG24" s="2" t="str">
        <f t="shared" si="11"/>
        <v>Manche épaule dénudée</v>
      </c>
      <c r="BH24" s="2" t="str">
        <f t="shared" si="12"/>
        <v>Cordon de serrage</v>
      </c>
    </row>
    <row r="25" ht="50" hidden="1" customHeight="1" spans="1:60">
      <c r="A25" s="4" t="s">
        <v>204</v>
      </c>
      <c r="B25" s="2" t="s">
        <v>205</v>
      </c>
      <c r="C25" s="2" t="str">
        <f t="shared" si="1"/>
        <v>Es07Qsbfzhad5wJp</v>
      </c>
      <c r="D25" s="4" t="str">
        <f t="shared" si="2"/>
        <v>Jupe Gothique Femme Longueur Cheville Taille Haute Volants</v>
      </c>
      <c r="E25" s="4" t="str">
        <f t="shared" si="3"/>
        <v>Jacquard Texturé Œillets Métalliques Laçage Croisé Taille Haute Longueur Cheville Volants Multicouches Jupe Gothique</v>
      </c>
      <c r="F25" s="4">
        <f t="shared" si="0"/>
        <v>58</v>
      </c>
      <c r="H25" s="4"/>
      <c r="I25" s="4" t="s">
        <v>206</v>
      </c>
      <c r="J25" s="4" t="s">
        <v>184</v>
      </c>
      <c r="K25" s="2" t="s">
        <v>185</v>
      </c>
      <c r="L25" s="2" t="s">
        <v>57</v>
      </c>
      <c r="M25" s="4" t="s">
        <v>6</v>
      </c>
      <c r="N25" s="4" t="s">
        <v>7</v>
      </c>
      <c r="O25" s="4"/>
      <c r="P25" s="4" t="s">
        <v>207</v>
      </c>
      <c r="Q25" s="4" t="s">
        <v>208</v>
      </c>
      <c r="R25" s="4" t="s">
        <v>209</v>
      </c>
      <c r="S25" s="4" t="s">
        <v>210</v>
      </c>
      <c r="T25" s="4"/>
      <c r="U25" s="4"/>
      <c r="V25" s="4"/>
      <c r="W25" s="4"/>
      <c r="X25" s="4"/>
      <c r="Y25" s="4" t="s">
        <v>17</v>
      </c>
      <c r="Z25" s="4"/>
      <c r="AA25" s="4" t="s">
        <v>207</v>
      </c>
      <c r="AB25" s="4"/>
      <c r="AC25" s="4" t="s">
        <v>208</v>
      </c>
      <c r="AD25" s="4"/>
      <c r="AE25" s="4" t="s">
        <v>209</v>
      </c>
      <c r="AF25" s="4"/>
      <c r="AG25" s="4" t="s">
        <v>210</v>
      </c>
      <c r="AH25" s="4"/>
      <c r="AI25" s="4"/>
      <c r="AJ25" s="4"/>
      <c r="AK25" s="4"/>
      <c r="AL25" s="4"/>
      <c r="AM25" s="4"/>
      <c r="AN25" s="4"/>
      <c r="AO25" s="4"/>
      <c r="AP25" s="4"/>
      <c r="AQ25" s="4"/>
      <c r="AR25" s="4" t="s">
        <v>18</v>
      </c>
      <c r="AS25" s="4" t="s">
        <v>6</v>
      </c>
      <c r="AT25" s="4">
        <v>26.66</v>
      </c>
      <c r="AU25" s="4">
        <v>31.99</v>
      </c>
      <c r="AV25" s="4">
        <v>24.01</v>
      </c>
      <c r="AW25" s="4">
        <v>32.01</v>
      </c>
      <c r="AX25" s="2" t="str">
        <f t="shared" si="4"/>
        <v>Encolure dégagée</v>
      </c>
      <c r="AY25" s="2" t="str">
        <f t="shared" si="5"/>
        <v>Sans col</v>
      </c>
      <c r="AZ25" s="2" t="str">
        <f t="shared" si="6"/>
        <v>Style et occasions : robe femme polyvalente idéale pour fêtes costumées, soirées à thème, Oktoberfest, Halloween et cosplay, tout en restant élégante pour des sorties décontractées ou des événements festifs variés.</v>
      </c>
      <c r="BA25" s="2" t="str">
        <f t="shared" si="7"/>
        <v>Matières et confort : confectionnée dans des matières douces comme le velours, la dentelle ou le satin, offrant un port agréable, un toucher délicat et une grande aisance de mouvement tout au long de la journée.</v>
      </c>
      <c r="BB25" s="2" t="str">
        <f t="shared" si="8"/>
        <v>Coupe et silhouette : coupe A évasée et taille haute qui mettent la silhouette en valeur avec élégance, soulignant la taille et apportant une allure gracieuse et féminine en toute circonstance.</v>
      </c>
      <c r="BC25" s="2" t="str">
        <f t="shared" si="9"/>
        <v>Finitions et détails : finitions soignées avec volants, laçage croisé, nœud et tablier pour un style raffiné, romantique et festif qui attire les regards et donne du caractère à la tenue.</v>
      </c>
      <c r="BD25" s="2" t="str">
        <f t="shared" si="10"/>
        <v>Polyvalence et conseil : s’associe aussi bien aux tenues décontractées qu’aux costumes de scène et de spectacle ; avant l’achat, veuillez consulter le guide des tailles pour un ajustement parfait.</v>
      </c>
      <c r="BG25" s="2" t="str">
        <f t="shared" si="11"/>
        <v>Manche épaule dénudée</v>
      </c>
      <c r="BH25" s="2" t="str">
        <f t="shared" si="12"/>
        <v>Cordon de serrage</v>
      </c>
    </row>
    <row r="26" ht="50" hidden="1" customHeight="1" spans="1:60">
      <c r="A26" s="4" t="s">
        <v>211</v>
      </c>
      <c r="B26" s="2" t="s">
        <v>212</v>
      </c>
      <c r="C26" s="2" t="str">
        <f t="shared" si="1"/>
        <v>Es07Qsbfzhad5wJp</v>
      </c>
      <c r="D26" s="4" t="str">
        <f t="shared" si="2"/>
        <v>Jupe Gothique Femme Longueur Cheville Taille Haute Volants</v>
      </c>
      <c r="E26" s="4" t="str">
        <f t="shared" si="3"/>
        <v>Jacquard Texturé Œillets Métalliques Laçage Croisé Taille Haute Longueur Cheville Volants Multicouches Jupe Gothique</v>
      </c>
      <c r="F26" s="4">
        <f t="shared" si="0"/>
        <v>58</v>
      </c>
      <c r="H26" s="4"/>
      <c r="I26" s="4" t="s">
        <v>213</v>
      </c>
      <c r="J26" s="4" t="s">
        <v>184</v>
      </c>
      <c r="K26" s="2" t="s">
        <v>185</v>
      </c>
      <c r="L26" s="2" t="s">
        <v>65</v>
      </c>
      <c r="M26" s="4" t="s">
        <v>6</v>
      </c>
      <c r="N26" s="4" t="s">
        <v>7</v>
      </c>
      <c r="O26" s="4"/>
      <c r="P26" s="4" t="s">
        <v>214</v>
      </c>
      <c r="Q26" s="4" t="s">
        <v>215</v>
      </c>
      <c r="R26" s="4" t="s">
        <v>216</v>
      </c>
      <c r="S26" s="4" t="s">
        <v>217</v>
      </c>
      <c r="T26" s="4"/>
      <c r="U26" s="4"/>
      <c r="V26" s="4"/>
      <c r="W26" s="4"/>
      <c r="X26" s="4"/>
      <c r="Y26" s="4" t="s">
        <v>17</v>
      </c>
      <c r="Z26" s="4"/>
      <c r="AA26" s="4" t="s">
        <v>214</v>
      </c>
      <c r="AB26" s="4"/>
      <c r="AC26" s="4" t="s">
        <v>215</v>
      </c>
      <c r="AD26" s="4"/>
      <c r="AE26" s="4" t="s">
        <v>216</v>
      </c>
      <c r="AF26" s="4"/>
      <c r="AG26" s="4" t="s">
        <v>217</v>
      </c>
      <c r="AH26" s="4"/>
      <c r="AI26" s="4"/>
      <c r="AJ26" s="4"/>
      <c r="AK26" s="4"/>
      <c r="AL26" s="4"/>
      <c r="AM26" s="4"/>
      <c r="AN26" s="4"/>
      <c r="AO26" s="4"/>
      <c r="AP26" s="4"/>
      <c r="AQ26" s="4"/>
      <c r="AR26" s="4" t="s">
        <v>18</v>
      </c>
      <c r="AS26" s="4" t="s">
        <v>6</v>
      </c>
      <c r="AT26" s="4">
        <v>26.66</v>
      </c>
      <c r="AU26" s="4">
        <v>31.99</v>
      </c>
      <c r="AV26" s="4">
        <v>24.01</v>
      </c>
      <c r="AW26" s="4">
        <v>32.01</v>
      </c>
      <c r="AX26" s="2" t="str">
        <f t="shared" si="4"/>
        <v>Encolure dégagée</v>
      </c>
      <c r="AY26" s="2" t="str">
        <f t="shared" si="5"/>
        <v>Sans col</v>
      </c>
      <c r="AZ26" s="2" t="str">
        <f t="shared" si="6"/>
        <v>Style et occasions : robe femme polyvalente idéale pour fêtes costumées, soirées à thème, Oktoberfest, Halloween et cosplay, tout en restant élégante pour des sorties décontractées ou des événements festifs variés.</v>
      </c>
      <c r="BA26" s="2" t="str">
        <f t="shared" si="7"/>
        <v>Matières et confort : confectionnée dans des matières douces comme le velours, la dentelle ou le satin, offrant un port agréable, un toucher délicat et une grande aisance de mouvement tout au long de la journée.</v>
      </c>
      <c r="BB26" s="2" t="str">
        <f t="shared" si="8"/>
        <v>Coupe et silhouette : coupe A évasée et taille haute qui mettent la silhouette en valeur avec élégance, soulignant la taille et apportant une allure gracieuse et féminine en toute circonstance.</v>
      </c>
      <c r="BC26" s="2" t="str">
        <f t="shared" si="9"/>
        <v>Finitions et détails : finitions soignées avec volants, laçage croisé, nœud et tablier pour un style raffiné, romantique et festif qui attire les regards et donne du caractère à la tenue.</v>
      </c>
      <c r="BD26" s="2" t="str">
        <f t="shared" si="10"/>
        <v>Polyvalence et conseil : s’associe aussi bien aux tenues décontractées qu’aux costumes de scène et de spectacle ; avant l’achat, veuillez consulter le guide des tailles pour un ajustement parfait.</v>
      </c>
      <c r="BG26" s="2" t="str">
        <f t="shared" si="11"/>
        <v>Manche épaule dénudée</v>
      </c>
      <c r="BH26" s="2" t="str">
        <f t="shared" si="12"/>
        <v>Cordon de serrage</v>
      </c>
    </row>
    <row r="27" ht="50" hidden="1" customHeight="1" spans="1:60">
      <c r="A27" s="4" t="s">
        <v>218</v>
      </c>
      <c r="B27" s="2" t="s">
        <v>219</v>
      </c>
      <c r="C27" s="2" t="str">
        <f t="shared" si="1"/>
        <v>Es07Qsbfzhad5wJp</v>
      </c>
      <c r="D27" s="4" t="str">
        <f t="shared" si="2"/>
        <v>Jupe Gothique Femme Longueur Cheville Taille Haute Volants</v>
      </c>
      <c r="E27" s="4" t="str">
        <f t="shared" si="3"/>
        <v>Jacquard Texturé Œillets Métalliques Laçage Croisé Taille Haute Longueur Cheville Volants Multicouches Jupe Gothique</v>
      </c>
      <c r="F27" s="4">
        <f t="shared" si="0"/>
        <v>58</v>
      </c>
      <c r="H27" s="4"/>
      <c r="I27" s="4" t="s">
        <v>220</v>
      </c>
      <c r="J27" s="4" t="s">
        <v>221</v>
      </c>
      <c r="K27" s="2" t="s">
        <v>222</v>
      </c>
      <c r="L27" s="2" t="s">
        <v>33</v>
      </c>
      <c r="M27" s="4" t="s">
        <v>6</v>
      </c>
      <c r="N27" s="4" t="s">
        <v>7</v>
      </c>
      <c r="O27" s="4"/>
      <c r="P27" s="4" t="s">
        <v>223</v>
      </c>
      <c r="Q27" s="4" t="s">
        <v>224</v>
      </c>
      <c r="R27" s="4" t="s">
        <v>225</v>
      </c>
      <c r="S27" s="4" t="s">
        <v>226</v>
      </c>
      <c r="T27" s="4"/>
      <c r="U27" s="4"/>
      <c r="V27" s="4"/>
      <c r="W27" s="4"/>
      <c r="X27" s="4"/>
      <c r="Y27" s="4" t="s">
        <v>17</v>
      </c>
      <c r="Z27" s="4"/>
      <c r="AA27" s="4" t="s">
        <v>223</v>
      </c>
      <c r="AB27" s="4"/>
      <c r="AC27" s="4" t="s">
        <v>224</v>
      </c>
      <c r="AD27" s="4"/>
      <c r="AE27" s="4" t="s">
        <v>225</v>
      </c>
      <c r="AF27" s="4"/>
      <c r="AG27" s="4" t="s">
        <v>226</v>
      </c>
      <c r="AH27" s="4"/>
      <c r="AI27" s="4"/>
      <c r="AJ27" s="4"/>
      <c r="AK27" s="4"/>
      <c r="AL27" s="4"/>
      <c r="AM27" s="4"/>
      <c r="AN27" s="4"/>
      <c r="AO27" s="4"/>
      <c r="AP27" s="4"/>
      <c r="AQ27" s="4"/>
      <c r="AR27" s="4" t="s">
        <v>18</v>
      </c>
      <c r="AS27" s="4" t="s">
        <v>6</v>
      </c>
      <c r="AT27" s="4">
        <v>26.66</v>
      </c>
      <c r="AU27" s="4">
        <v>31.99</v>
      </c>
      <c r="AV27" s="4">
        <v>24.01</v>
      </c>
      <c r="AW27" s="4">
        <v>32.01</v>
      </c>
      <c r="AX27" s="2" t="str">
        <f t="shared" si="4"/>
        <v>Encolure dégagée</v>
      </c>
      <c r="AY27" s="2" t="str">
        <f t="shared" si="5"/>
        <v>Sans col</v>
      </c>
      <c r="AZ27" s="2" t="str">
        <f t="shared" si="6"/>
        <v>Style et occasions : robe femme polyvalente idéale pour fêtes costumées, soirées à thème, Oktoberfest, Halloween et cosplay, tout en restant élégante pour des sorties décontractées ou des événements festifs variés.</v>
      </c>
      <c r="BA27" s="2" t="str">
        <f t="shared" si="7"/>
        <v>Matières et confort : confectionnée dans des matières douces comme le velours, la dentelle ou le satin, offrant un port agréable, un toucher délicat et une grande aisance de mouvement tout au long de la journée.</v>
      </c>
      <c r="BB27" s="2" t="str">
        <f t="shared" si="8"/>
        <v>Coupe et silhouette : coupe A évasée et taille haute qui mettent la silhouette en valeur avec élégance, soulignant la taille et apportant une allure gracieuse et féminine en toute circonstance.</v>
      </c>
      <c r="BC27" s="2" t="str">
        <f t="shared" si="9"/>
        <v>Finitions et détails : finitions soignées avec volants, laçage croisé, nœud et tablier pour un style raffiné, romantique et festif qui attire les regards et donne du caractère à la tenue.</v>
      </c>
      <c r="BD27" s="2" t="str">
        <f t="shared" si="10"/>
        <v>Polyvalence et conseil : s’associe aussi bien aux tenues décontractées qu’aux costumes de scène et de spectacle ; avant l’achat, veuillez consulter le guide des tailles pour un ajustement parfait.</v>
      </c>
      <c r="BG27" s="2" t="str">
        <f t="shared" si="11"/>
        <v>Manche épaule dénudée</v>
      </c>
      <c r="BH27" s="2" t="str">
        <f t="shared" si="12"/>
        <v>Cordon de serrage</v>
      </c>
    </row>
    <row r="28" ht="50" hidden="1" customHeight="1" spans="1:60">
      <c r="A28" s="4" t="s">
        <v>227</v>
      </c>
      <c r="B28" s="2" t="s">
        <v>228</v>
      </c>
      <c r="C28" s="2" t="str">
        <f t="shared" si="1"/>
        <v>Es07Qsbfzhad5wJp</v>
      </c>
      <c r="D28" s="4" t="str">
        <f t="shared" si="2"/>
        <v>Jupe Gothique Femme Longueur Cheville Taille Haute Volants</v>
      </c>
      <c r="E28" s="4" t="str">
        <f t="shared" si="3"/>
        <v>Jacquard Texturé Œillets Métalliques Laçage Croisé Taille Haute Longueur Cheville Volants Multicouches Jupe Gothique</v>
      </c>
      <c r="F28" s="4">
        <f t="shared" si="0"/>
        <v>58</v>
      </c>
      <c r="H28" s="4"/>
      <c r="I28" s="4" t="s">
        <v>229</v>
      </c>
      <c r="J28" s="4" t="s">
        <v>221</v>
      </c>
      <c r="K28" s="2" t="s">
        <v>222</v>
      </c>
      <c r="L28" s="2" t="s">
        <v>41</v>
      </c>
      <c r="M28" s="4" t="s">
        <v>6</v>
      </c>
      <c r="N28" s="4" t="s">
        <v>7</v>
      </c>
      <c r="O28" s="4"/>
      <c r="P28" s="4" t="s">
        <v>230</v>
      </c>
      <c r="Q28" s="4" t="s">
        <v>231</v>
      </c>
      <c r="R28" s="4" t="s">
        <v>232</v>
      </c>
      <c r="S28" s="4" t="s">
        <v>233</v>
      </c>
      <c r="T28" s="4"/>
      <c r="U28" s="4"/>
      <c r="V28" s="4"/>
      <c r="W28" s="4"/>
      <c r="X28" s="4"/>
      <c r="Y28" s="4" t="s">
        <v>17</v>
      </c>
      <c r="Z28" s="4"/>
      <c r="AA28" s="4" t="s">
        <v>230</v>
      </c>
      <c r="AB28" s="4"/>
      <c r="AC28" s="4" t="s">
        <v>231</v>
      </c>
      <c r="AD28" s="4"/>
      <c r="AE28" s="4" t="s">
        <v>232</v>
      </c>
      <c r="AF28" s="4"/>
      <c r="AG28" s="4" t="s">
        <v>233</v>
      </c>
      <c r="AH28" s="4"/>
      <c r="AI28" s="4"/>
      <c r="AJ28" s="4"/>
      <c r="AK28" s="4"/>
      <c r="AL28" s="4"/>
      <c r="AM28" s="4"/>
      <c r="AN28" s="4"/>
      <c r="AO28" s="4"/>
      <c r="AP28" s="4"/>
      <c r="AQ28" s="4"/>
      <c r="AR28" s="4" t="s">
        <v>18</v>
      </c>
      <c r="AS28" s="4" t="s">
        <v>6</v>
      </c>
      <c r="AT28" s="4">
        <v>26.66</v>
      </c>
      <c r="AU28" s="4">
        <v>31.99</v>
      </c>
      <c r="AV28" s="4">
        <v>24.01</v>
      </c>
      <c r="AW28" s="4">
        <v>32.01</v>
      </c>
      <c r="AX28" s="2" t="str">
        <f t="shared" si="4"/>
        <v>Encolure dégagée</v>
      </c>
      <c r="AY28" s="2" t="str">
        <f t="shared" si="5"/>
        <v>Sans col</v>
      </c>
      <c r="AZ28" s="2" t="str">
        <f t="shared" si="6"/>
        <v>Style et occasions : robe femme polyvalente idéale pour fêtes costumées, soirées à thème, Oktoberfest, Halloween et cosplay, tout en restant élégante pour des sorties décontractées ou des événements festifs variés.</v>
      </c>
      <c r="BA28" s="2" t="str">
        <f t="shared" si="7"/>
        <v>Matières et confort : confectionnée dans des matières douces comme le velours, la dentelle ou le satin, offrant un port agréable, un toucher délicat et une grande aisance de mouvement tout au long de la journée.</v>
      </c>
      <c r="BB28" s="2" t="str">
        <f t="shared" si="8"/>
        <v>Coupe et silhouette : coupe A évasée et taille haute qui mettent la silhouette en valeur avec élégance, soulignant la taille et apportant une allure gracieuse et féminine en toute circonstance.</v>
      </c>
      <c r="BC28" s="2" t="str">
        <f t="shared" si="9"/>
        <v>Finitions et détails : finitions soignées avec volants, laçage croisé, nœud et tablier pour un style raffiné, romantique et festif qui attire les regards et donne du caractère à la tenue.</v>
      </c>
      <c r="BD28" s="2" t="str">
        <f t="shared" si="10"/>
        <v>Polyvalence et conseil : s’associe aussi bien aux tenues décontractées qu’aux costumes de scène et de spectacle ; avant l’achat, veuillez consulter le guide des tailles pour un ajustement parfait.</v>
      </c>
      <c r="BG28" s="2" t="str">
        <f t="shared" si="11"/>
        <v>Manche épaule dénudée</v>
      </c>
      <c r="BH28" s="2" t="str">
        <f t="shared" si="12"/>
        <v>Cordon de serrage</v>
      </c>
    </row>
    <row r="29" ht="50" hidden="1" customHeight="1" spans="1:60">
      <c r="A29" s="4" t="s">
        <v>234</v>
      </c>
      <c r="B29" s="2" t="s">
        <v>235</v>
      </c>
      <c r="C29" s="2" t="str">
        <f t="shared" si="1"/>
        <v>Es07Qsbfzhad5wJp</v>
      </c>
      <c r="D29" s="4" t="str">
        <f t="shared" si="2"/>
        <v>Jupe Gothique Femme Longueur Cheville Taille Haute Volants</v>
      </c>
      <c r="E29" s="4" t="str">
        <f t="shared" si="3"/>
        <v>Jacquard Texturé Œillets Métalliques Laçage Croisé Taille Haute Longueur Cheville Volants Multicouches Jupe Gothique</v>
      </c>
      <c r="F29" s="4">
        <f t="shared" si="0"/>
        <v>58</v>
      </c>
      <c r="H29" s="4"/>
      <c r="I29" s="4" t="s">
        <v>236</v>
      </c>
      <c r="J29" s="4" t="s">
        <v>221</v>
      </c>
      <c r="K29" s="2" t="s">
        <v>222</v>
      </c>
      <c r="L29" s="2" t="s">
        <v>49</v>
      </c>
      <c r="M29" s="4" t="s">
        <v>6</v>
      </c>
      <c r="N29" s="4" t="s">
        <v>7</v>
      </c>
      <c r="O29" s="4"/>
      <c r="P29" s="4" t="s">
        <v>237</v>
      </c>
      <c r="Q29" s="4" t="s">
        <v>238</v>
      </c>
      <c r="R29" s="4" t="s">
        <v>239</v>
      </c>
      <c r="S29" s="4" t="s">
        <v>240</v>
      </c>
      <c r="T29" s="4"/>
      <c r="U29" s="4"/>
      <c r="V29" s="4"/>
      <c r="W29" s="4"/>
      <c r="X29" s="4"/>
      <c r="Y29" s="4" t="s">
        <v>17</v>
      </c>
      <c r="Z29" s="4"/>
      <c r="AA29" s="4" t="s">
        <v>237</v>
      </c>
      <c r="AB29" s="4"/>
      <c r="AC29" s="4" t="s">
        <v>238</v>
      </c>
      <c r="AD29" s="4"/>
      <c r="AE29" s="4" t="s">
        <v>239</v>
      </c>
      <c r="AF29" s="4"/>
      <c r="AG29" s="4" t="s">
        <v>240</v>
      </c>
      <c r="AH29" s="4"/>
      <c r="AI29" s="4"/>
      <c r="AJ29" s="4"/>
      <c r="AK29" s="4"/>
      <c r="AL29" s="4"/>
      <c r="AM29" s="4"/>
      <c r="AN29" s="4"/>
      <c r="AO29" s="4"/>
      <c r="AP29" s="4"/>
      <c r="AQ29" s="4"/>
      <c r="AR29" s="4" t="s">
        <v>18</v>
      </c>
      <c r="AS29" s="4" t="s">
        <v>6</v>
      </c>
      <c r="AT29" s="4">
        <v>26.66</v>
      </c>
      <c r="AU29" s="4">
        <v>31.99</v>
      </c>
      <c r="AV29" s="4">
        <v>24.01</v>
      </c>
      <c r="AW29" s="4">
        <v>32.01</v>
      </c>
      <c r="AX29" s="2" t="str">
        <f t="shared" si="4"/>
        <v>Encolure dégagée</v>
      </c>
      <c r="AY29" s="2" t="str">
        <f t="shared" si="5"/>
        <v>Sans col</v>
      </c>
      <c r="AZ29" s="2" t="str">
        <f t="shared" si="6"/>
        <v>Style et occasions : robe femme polyvalente idéale pour fêtes costumées, soirées à thème, Oktoberfest, Halloween et cosplay, tout en restant élégante pour des sorties décontractées ou des événements festifs variés.</v>
      </c>
      <c r="BA29" s="2" t="str">
        <f t="shared" si="7"/>
        <v>Matières et confort : confectionnée dans des matières douces comme le velours, la dentelle ou le satin, offrant un port agréable, un toucher délicat et une grande aisance de mouvement tout au long de la journée.</v>
      </c>
      <c r="BB29" s="2" t="str">
        <f t="shared" si="8"/>
        <v>Coupe et silhouette : coupe A évasée et taille haute qui mettent la silhouette en valeur avec élégance, soulignant la taille et apportant une allure gracieuse et féminine en toute circonstance.</v>
      </c>
      <c r="BC29" s="2" t="str">
        <f t="shared" si="9"/>
        <v>Finitions et détails : finitions soignées avec volants, laçage croisé, nœud et tablier pour un style raffiné, romantique et festif qui attire les regards et donne du caractère à la tenue.</v>
      </c>
      <c r="BD29" s="2" t="str">
        <f t="shared" si="10"/>
        <v>Polyvalence et conseil : s’associe aussi bien aux tenues décontractées qu’aux costumes de scène et de spectacle ; avant l’achat, veuillez consulter le guide des tailles pour un ajustement parfait.</v>
      </c>
      <c r="BG29" s="2" t="str">
        <f t="shared" si="11"/>
        <v>Manche épaule dénudée</v>
      </c>
      <c r="BH29" s="2" t="str">
        <f t="shared" si="12"/>
        <v>Cordon de serrage</v>
      </c>
    </row>
    <row r="30" ht="50" hidden="1" customHeight="1" spans="1:60">
      <c r="A30" s="4" t="s">
        <v>241</v>
      </c>
      <c r="B30" s="2" t="s">
        <v>242</v>
      </c>
      <c r="C30" s="2" t="str">
        <f t="shared" si="1"/>
        <v>Es07Qsbfzhad5wJp</v>
      </c>
      <c r="D30" s="4" t="str">
        <f t="shared" si="2"/>
        <v>Jupe Gothique Femme Longueur Cheville Taille Haute Volants</v>
      </c>
      <c r="E30" s="4" t="str">
        <f t="shared" si="3"/>
        <v>Jacquard Texturé Œillets Métalliques Laçage Croisé Taille Haute Longueur Cheville Volants Multicouches Jupe Gothique</v>
      </c>
      <c r="F30" s="4">
        <f t="shared" si="0"/>
        <v>58</v>
      </c>
      <c r="H30" s="4"/>
      <c r="I30" s="4" t="s">
        <v>243</v>
      </c>
      <c r="J30" s="4" t="s">
        <v>221</v>
      </c>
      <c r="K30" s="2" t="s">
        <v>222</v>
      </c>
      <c r="L30" s="2" t="s">
        <v>57</v>
      </c>
      <c r="M30" s="4" t="s">
        <v>6</v>
      </c>
      <c r="N30" s="4" t="s">
        <v>7</v>
      </c>
      <c r="O30" s="4"/>
      <c r="P30" s="4" t="s">
        <v>244</v>
      </c>
      <c r="Q30" s="4" t="s">
        <v>245</v>
      </c>
      <c r="R30" s="4" t="s">
        <v>246</v>
      </c>
      <c r="S30" s="4" t="s">
        <v>247</v>
      </c>
      <c r="T30" s="4"/>
      <c r="U30" s="4"/>
      <c r="V30" s="4"/>
      <c r="W30" s="4"/>
      <c r="X30" s="4"/>
      <c r="Y30" s="4" t="s">
        <v>17</v>
      </c>
      <c r="Z30" s="4"/>
      <c r="AA30" s="4" t="s">
        <v>244</v>
      </c>
      <c r="AB30" s="4"/>
      <c r="AC30" s="4" t="s">
        <v>245</v>
      </c>
      <c r="AD30" s="4"/>
      <c r="AE30" s="4" t="s">
        <v>246</v>
      </c>
      <c r="AF30" s="4"/>
      <c r="AG30" s="4" t="s">
        <v>247</v>
      </c>
      <c r="AH30" s="4"/>
      <c r="AI30" s="4"/>
      <c r="AJ30" s="4"/>
      <c r="AK30" s="4"/>
      <c r="AL30" s="4"/>
      <c r="AM30" s="4"/>
      <c r="AN30" s="4"/>
      <c r="AO30" s="4"/>
      <c r="AP30" s="4"/>
      <c r="AQ30" s="4"/>
      <c r="AR30" s="4" t="s">
        <v>18</v>
      </c>
      <c r="AS30" s="4" t="s">
        <v>6</v>
      </c>
      <c r="AT30" s="4">
        <v>26.66</v>
      </c>
      <c r="AU30" s="4">
        <v>31.99</v>
      </c>
      <c r="AV30" s="4">
        <v>24.01</v>
      </c>
      <c r="AW30" s="4">
        <v>32.01</v>
      </c>
      <c r="AX30" s="2" t="str">
        <f t="shared" si="4"/>
        <v>Encolure dégagée</v>
      </c>
      <c r="AY30" s="2" t="str">
        <f t="shared" si="5"/>
        <v>Sans col</v>
      </c>
      <c r="AZ30" s="2" t="str">
        <f t="shared" si="6"/>
        <v>Style et occasions : robe femme polyvalente idéale pour fêtes costumées, soirées à thème, Oktoberfest, Halloween et cosplay, tout en restant élégante pour des sorties décontractées ou des événements festifs variés.</v>
      </c>
      <c r="BA30" s="2" t="str">
        <f t="shared" si="7"/>
        <v>Matières et confort : confectionnée dans des matières douces comme le velours, la dentelle ou le satin, offrant un port agréable, un toucher délicat et une grande aisance de mouvement tout au long de la journée.</v>
      </c>
      <c r="BB30" s="2" t="str">
        <f t="shared" si="8"/>
        <v>Coupe et silhouette : coupe A évasée et taille haute qui mettent la silhouette en valeur avec élégance, soulignant la taille et apportant une allure gracieuse et féminine en toute circonstance.</v>
      </c>
      <c r="BC30" s="2" t="str">
        <f t="shared" si="9"/>
        <v>Finitions et détails : finitions soignées avec volants, laçage croisé, nœud et tablier pour un style raffiné, romantique et festif qui attire les regards et donne du caractère à la tenue.</v>
      </c>
      <c r="BD30" s="2" t="str">
        <f t="shared" si="10"/>
        <v>Polyvalence et conseil : s’associe aussi bien aux tenues décontractées qu’aux costumes de scène et de spectacle ; avant l’achat, veuillez consulter le guide des tailles pour un ajustement parfait.</v>
      </c>
      <c r="BG30" s="2" t="str">
        <f t="shared" si="11"/>
        <v>Manche épaule dénudée</v>
      </c>
      <c r="BH30" s="2" t="str">
        <f t="shared" si="12"/>
        <v>Cordon de serrage</v>
      </c>
    </row>
    <row r="31" ht="50" hidden="1" customHeight="1" spans="1:60">
      <c r="A31" s="4" t="s">
        <v>248</v>
      </c>
      <c r="B31" s="2" t="s">
        <v>249</v>
      </c>
      <c r="C31" s="2" t="str">
        <f t="shared" si="1"/>
        <v>Es07Qsbfzhad5wJp</v>
      </c>
      <c r="D31" s="4" t="str">
        <f t="shared" si="2"/>
        <v>Jupe Gothique Femme Longueur Cheville Taille Haute Volants</v>
      </c>
      <c r="E31" s="4" t="str">
        <f t="shared" si="3"/>
        <v>Jacquard Texturé Œillets Métalliques Laçage Croisé Taille Haute Longueur Cheville Volants Multicouches Jupe Gothique</v>
      </c>
      <c r="F31" s="4">
        <f t="shared" si="0"/>
        <v>58</v>
      </c>
      <c r="H31" s="4"/>
      <c r="I31" s="4" t="s">
        <v>250</v>
      </c>
      <c r="J31" s="4" t="s">
        <v>221</v>
      </c>
      <c r="K31" s="2" t="s">
        <v>222</v>
      </c>
      <c r="L31" s="2" t="s">
        <v>65</v>
      </c>
      <c r="M31" s="4" t="s">
        <v>6</v>
      </c>
      <c r="N31" s="4" t="s">
        <v>7</v>
      </c>
      <c r="O31" s="4"/>
      <c r="P31" s="4" t="s">
        <v>251</v>
      </c>
      <c r="Q31" s="4" t="s">
        <v>252</v>
      </c>
      <c r="R31" s="4" t="s">
        <v>253</v>
      </c>
      <c r="S31" s="4" t="s">
        <v>254</v>
      </c>
      <c r="T31" s="4"/>
      <c r="U31" s="4"/>
      <c r="V31" s="4"/>
      <c r="W31" s="4"/>
      <c r="X31" s="4"/>
      <c r="Y31" s="4" t="s">
        <v>17</v>
      </c>
      <c r="Z31" s="4"/>
      <c r="AA31" s="4" t="s">
        <v>251</v>
      </c>
      <c r="AB31" s="4"/>
      <c r="AC31" s="4" t="s">
        <v>252</v>
      </c>
      <c r="AD31" s="4"/>
      <c r="AE31" s="4" t="s">
        <v>253</v>
      </c>
      <c r="AF31" s="4"/>
      <c r="AG31" s="4" t="s">
        <v>254</v>
      </c>
      <c r="AH31" s="4"/>
      <c r="AI31" s="4"/>
      <c r="AJ31" s="4"/>
      <c r="AK31" s="4"/>
      <c r="AL31" s="4"/>
      <c r="AM31" s="4"/>
      <c r="AN31" s="4"/>
      <c r="AO31" s="4"/>
      <c r="AP31" s="4"/>
      <c r="AQ31" s="4"/>
      <c r="AR31" s="4" t="s">
        <v>18</v>
      </c>
      <c r="AS31" s="4" t="s">
        <v>6</v>
      </c>
      <c r="AT31" s="4">
        <v>26.66</v>
      </c>
      <c r="AU31" s="4">
        <v>31.99</v>
      </c>
      <c r="AV31" s="4">
        <v>24.01</v>
      </c>
      <c r="AW31" s="4">
        <v>32.01</v>
      </c>
      <c r="AX31" s="2" t="str">
        <f t="shared" si="4"/>
        <v>Encolure dégagée</v>
      </c>
      <c r="AY31" s="2" t="str">
        <f t="shared" si="5"/>
        <v>Sans col</v>
      </c>
      <c r="AZ31" s="2" t="str">
        <f t="shared" si="6"/>
        <v>Style et occasions : robe femme polyvalente idéale pour fêtes costumées, soirées à thème, Oktoberfest, Halloween et cosplay, tout en restant élégante pour des sorties décontractées ou des événements festifs variés.</v>
      </c>
      <c r="BA31" s="2" t="str">
        <f t="shared" si="7"/>
        <v>Matières et confort : confectionnée dans des matières douces comme le velours, la dentelle ou le satin, offrant un port agréable, un toucher délicat et une grande aisance de mouvement tout au long de la journée.</v>
      </c>
      <c r="BB31" s="2" t="str">
        <f t="shared" si="8"/>
        <v>Coupe et silhouette : coupe A évasée et taille haute qui mettent la silhouette en valeur avec élégance, soulignant la taille et apportant une allure gracieuse et féminine en toute circonstance.</v>
      </c>
      <c r="BC31" s="2" t="str">
        <f t="shared" si="9"/>
        <v>Finitions et détails : finitions soignées avec volants, laçage croisé, nœud et tablier pour un style raffiné, romantique et festif qui attire les regards et donne du caractère à la tenue.</v>
      </c>
      <c r="BD31" s="2" t="str">
        <f t="shared" si="10"/>
        <v>Polyvalence et conseil : s’associe aussi bien aux tenues décontractées qu’aux costumes de scène et de spectacle ; avant l’achat, veuillez consulter le guide des tailles pour un ajustement parfait.</v>
      </c>
      <c r="BG31" s="2" t="str">
        <f t="shared" si="11"/>
        <v>Manche épaule dénudée</v>
      </c>
      <c r="BH31" s="2" t="str">
        <f t="shared" si="12"/>
        <v>Cordon de serrage</v>
      </c>
    </row>
    <row r="32" ht="50" hidden="1" customHeight="1" spans="1:60">
      <c r="A32" s="4" t="s">
        <v>255</v>
      </c>
      <c r="B32" s="2" t="s">
        <v>256</v>
      </c>
      <c r="C32" s="2" t="str">
        <f t="shared" si="1"/>
        <v>Es07Qsbfzhad5wJp</v>
      </c>
      <c r="D32" s="4" t="str">
        <f t="shared" si="2"/>
        <v>Jupe Gothique Femme Longueur Cheville Taille Haute Volants</v>
      </c>
      <c r="E32" s="4" t="str">
        <f t="shared" si="3"/>
        <v>Jacquard Texturé Œillets Métalliques Laçage Croisé Taille Haute Longueur Cheville Volants Multicouches Jupe Gothique</v>
      </c>
      <c r="F32" s="4">
        <f t="shared" si="0"/>
        <v>58</v>
      </c>
      <c r="H32" s="4"/>
      <c r="I32" s="4" t="s">
        <v>257</v>
      </c>
      <c r="J32" s="4" t="s">
        <v>258</v>
      </c>
      <c r="K32" s="2" t="s">
        <v>259</v>
      </c>
      <c r="L32" s="2" t="s">
        <v>33</v>
      </c>
      <c r="M32" s="4" t="s">
        <v>6</v>
      </c>
      <c r="N32" s="4" t="s">
        <v>7</v>
      </c>
      <c r="O32" s="4"/>
      <c r="P32" s="4" t="s">
        <v>260</v>
      </c>
      <c r="Q32" s="4" t="s">
        <v>261</v>
      </c>
      <c r="R32" s="4" t="s">
        <v>262</v>
      </c>
      <c r="S32" s="4" t="s">
        <v>263</v>
      </c>
      <c r="T32" s="4"/>
      <c r="U32" s="4"/>
      <c r="V32" s="4"/>
      <c r="W32" s="4"/>
      <c r="X32" s="4"/>
      <c r="Y32" s="4" t="s">
        <v>17</v>
      </c>
      <c r="Z32" s="4"/>
      <c r="AA32" s="4" t="s">
        <v>260</v>
      </c>
      <c r="AB32" s="4"/>
      <c r="AC32" s="4" t="s">
        <v>261</v>
      </c>
      <c r="AD32" s="4"/>
      <c r="AE32" s="4" t="s">
        <v>262</v>
      </c>
      <c r="AF32" s="4"/>
      <c r="AG32" s="4" t="s">
        <v>263</v>
      </c>
      <c r="AH32" s="4"/>
      <c r="AI32" s="4"/>
      <c r="AJ32" s="4"/>
      <c r="AK32" s="4"/>
      <c r="AL32" s="4"/>
      <c r="AM32" s="4"/>
      <c r="AN32" s="4"/>
      <c r="AO32" s="4"/>
      <c r="AP32" s="4"/>
      <c r="AQ32" s="4"/>
      <c r="AR32" s="4" t="s">
        <v>18</v>
      </c>
      <c r="AS32" s="4" t="s">
        <v>6</v>
      </c>
      <c r="AT32" s="4">
        <v>26.66</v>
      </c>
      <c r="AU32" s="4">
        <v>31.99</v>
      </c>
      <c r="AV32" s="4">
        <v>24.01</v>
      </c>
      <c r="AW32" s="4">
        <v>32.01</v>
      </c>
      <c r="AX32" s="2" t="str">
        <f t="shared" si="4"/>
        <v>Encolure dégagée</v>
      </c>
      <c r="AY32" s="2" t="str">
        <f t="shared" si="5"/>
        <v>Sans col</v>
      </c>
      <c r="AZ32" s="2" t="str">
        <f t="shared" si="6"/>
        <v>Style et occasions : robe femme polyvalente idéale pour fêtes costumées, soirées à thème, Oktoberfest, Halloween et cosplay, tout en restant élégante pour des sorties décontractées ou des événements festifs variés.</v>
      </c>
      <c r="BA32" s="2" t="str">
        <f t="shared" si="7"/>
        <v>Matières et confort : confectionnée dans des matières douces comme le velours, la dentelle ou le satin, offrant un port agréable, un toucher délicat et une grande aisance de mouvement tout au long de la journée.</v>
      </c>
      <c r="BB32" s="2" t="str">
        <f t="shared" si="8"/>
        <v>Coupe et silhouette : coupe A évasée et taille haute qui mettent la silhouette en valeur avec élégance, soulignant la taille et apportant une allure gracieuse et féminine en toute circonstance.</v>
      </c>
      <c r="BC32" s="2" t="str">
        <f t="shared" si="9"/>
        <v>Finitions et détails : finitions soignées avec volants, laçage croisé, nœud et tablier pour un style raffiné, romantique et festif qui attire les regards et donne du caractère à la tenue.</v>
      </c>
      <c r="BD32" s="2" t="str">
        <f t="shared" si="10"/>
        <v>Polyvalence et conseil : s’associe aussi bien aux tenues décontractées qu’aux costumes de scène et de spectacle ; avant l’achat, veuillez consulter le guide des tailles pour un ajustement parfait.</v>
      </c>
      <c r="BG32" s="2" t="str">
        <f t="shared" si="11"/>
        <v>Manche épaule dénudée</v>
      </c>
      <c r="BH32" s="2" t="str">
        <f t="shared" si="12"/>
        <v>Cordon de serrage</v>
      </c>
    </row>
    <row r="33" ht="50" hidden="1" customHeight="1" spans="1:60">
      <c r="A33" s="4" t="s">
        <v>264</v>
      </c>
      <c r="B33" s="2" t="s">
        <v>265</v>
      </c>
      <c r="C33" s="2" t="str">
        <f t="shared" si="1"/>
        <v>Es07Qsbfzhad5wJp</v>
      </c>
      <c r="D33" s="4" t="str">
        <f t="shared" si="2"/>
        <v>Jupe Gothique Femme Longueur Cheville Taille Haute Volants</v>
      </c>
      <c r="E33" s="4" t="str">
        <f t="shared" si="3"/>
        <v>Jacquard Texturé Œillets Métalliques Laçage Croisé Taille Haute Longueur Cheville Volants Multicouches Jupe Gothique</v>
      </c>
      <c r="F33" s="4">
        <f t="shared" si="0"/>
        <v>58</v>
      </c>
      <c r="H33" s="4"/>
      <c r="I33" s="4" t="s">
        <v>266</v>
      </c>
      <c r="J33" s="4" t="s">
        <v>258</v>
      </c>
      <c r="K33" s="2" t="s">
        <v>259</v>
      </c>
      <c r="L33" s="2" t="s">
        <v>41</v>
      </c>
      <c r="M33" s="4" t="s">
        <v>6</v>
      </c>
      <c r="N33" s="4" t="s">
        <v>7</v>
      </c>
      <c r="O33" s="4"/>
      <c r="P33" s="4" t="s">
        <v>267</v>
      </c>
      <c r="Q33" s="4" t="s">
        <v>268</v>
      </c>
      <c r="R33" s="4" t="s">
        <v>269</v>
      </c>
      <c r="S33" s="4" t="s">
        <v>270</v>
      </c>
      <c r="T33" s="4"/>
      <c r="U33" s="4"/>
      <c r="V33" s="4"/>
      <c r="W33" s="4"/>
      <c r="X33" s="4"/>
      <c r="Y33" s="4" t="s">
        <v>17</v>
      </c>
      <c r="Z33" s="4"/>
      <c r="AA33" s="4" t="s">
        <v>267</v>
      </c>
      <c r="AB33" s="4"/>
      <c r="AC33" s="4" t="s">
        <v>268</v>
      </c>
      <c r="AD33" s="4"/>
      <c r="AE33" s="4" t="s">
        <v>269</v>
      </c>
      <c r="AF33" s="4"/>
      <c r="AG33" s="4" t="s">
        <v>270</v>
      </c>
      <c r="AH33" s="4"/>
      <c r="AI33" s="4"/>
      <c r="AJ33" s="4"/>
      <c r="AK33" s="4"/>
      <c r="AL33" s="4"/>
      <c r="AM33" s="4"/>
      <c r="AN33" s="4"/>
      <c r="AO33" s="4"/>
      <c r="AP33" s="4"/>
      <c r="AQ33" s="4"/>
      <c r="AR33" s="4" t="s">
        <v>18</v>
      </c>
      <c r="AS33" s="4" t="s">
        <v>6</v>
      </c>
      <c r="AT33" s="4">
        <v>26.66</v>
      </c>
      <c r="AU33" s="4">
        <v>31.99</v>
      </c>
      <c r="AV33" s="4">
        <v>24.01</v>
      </c>
      <c r="AW33" s="4">
        <v>32.01</v>
      </c>
      <c r="AX33" s="2" t="str">
        <f t="shared" si="4"/>
        <v>Encolure dégagée</v>
      </c>
      <c r="AY33" s="2" t="str">
        <f t="shared" si="5"/>
        <v>Sans col</v>
      </c>
      <c r="AZ33" s="2" t="str">
        <f t="shared" si="6"/>
        <v>Style et occasions : robe femme polyvalente idéale pour fêtes costumées, soirées à thème, Oktoberfest, Halloween et cosplay, tout en restant élégante pour des sorties décontractées ou des événements festifs variés.</v>
      </c>
      <c r="BA33" s="2" t="str">
        <f t="shared" si="7"/>
        <v>Matières et confort : confectionnée dans des matières douces comme le velours, la dentelle ou le satin, offrant un port agréable, un toucher délicat et une grande aisance de mouvement tout au long de la journée.</v>
      </c>
      <c r="BB33" s="2" t="str">
        <f t="shared" si="8"/>
        <v>Coupe et silhouette : coupe A évasée et taille haute qui mettent la silhouette en valeur avec élégance, soulignant la taille et apportant une allure gracieuse et féminine en toute circonstance.</v>
      </c>
      <c r="BC33" s="2" t="str">
        <f t="shared" si="9"/>
        <v>Finitions et détails : finitions soignées avec volants, laçage croisé, nœud et tablier pour un style raffiné, romantique et festif qui attire les regards et donne du caractère à la tenue.</v>
      </c>
      <c r="BD33" s="2" t="str">
        <f t="shared" si="10"/>
        <v>Polyvalence et conseil : s’associe aussi bien aux tenues décontractées qu’aux costumes de scène et de spectacle ; avant l’achat, veuillez consulter le guide des tailles pour un ajustement parfait.</v>
      </c>
      <c r="BG33" s="2" t="str">
        <f t="shared" si="11"/>
        <v>Manche épaule dénudée</v>
      </c>
      <c r="BH33" s="2" t="str">
        <f t="shared" si="12"/>
        <v>Cordon de serrage</v>
      </c>
    </row>
    <row r="34" ht="50" hidden="1" customHeight="1" spans="1:60">
      <c r="A34" s="4" t="s">
        <v>271</v>
      </c>
      <c r="B34" s="2" t="s">
        <v>272</v>
      </c>
      <c r="C34" s="2" t="str">
        <f t="shared" si="1"/>
        <v>Es07Qsbfzhad5wJp</v>
      </c>
      <c r="D34" s="4" t="str">
        <f t="shared" si="2"/>
        <v>Jupe Gothique Femme Longueur Cheville Taille Haute Volants</v>
      </c>
      <c r="E34" s="4" t="str">
        <f t="shared" si="3"/>
        <v>Jacquard Texturé Œillets Métalliques Laçage Croisé Taille Haute Longueur Cheville Volants Multicouches Jupe Gothique</v>
      </c>
      <c r="F34" s="4">
        <f t="shared" si="0"/>
        <v>58</v>
      </c>
      <c r="H34" s="4"/>
      <c r="I34" s="4" t="s">
        <v>273</v>
      </c>
      <c r="J34" s="4" t="s">
        <v>258</v>
      </c>
      <c r="K34" s="2" t="s">
        <v>259</v>
      </c>
      <c r="L34" s="2" t="s">
        <v>49</v>
      </c>
      <c r="M34" s="4" t="s">
        <v>6</v>
      </c>
      <c r="N34" s="4" t="s">
        <v>7</v>
      </c>
      <c r="O34" s="4"/>
      <c r="P34" s="4" t="s">
        <v>274</v>
      </c>
      <c r="Q34" s="4" t="s">
        <v>275</v>
      </c>
      <c r="R34" s="4" t="s">
        <v>276</v>
      </c>
      <c r="S34" s="4" t="s">
        <v>277</v>
      </c>
      <c r="T34" s="4"/>
      <c r="U34" s="4"/>
      <c r="V34" s="4"/>
      <c r="W34" s="4"/>
      <c r="X34" s="4"/>
      <c r="Y34" s="4" t="s">
        <v>17</v>
      </c>
      <c r="Z34" s="4"/>
      <c r="AA34" s="4" t="s">
        <v>274</v>
      </c>
      <c r="AB34" s="4"/>
      <c r="AC34" s="4" t="s">
        <v>275</v>
      </c>
      <c r="AD34" s="4"/>
      <c r="AE34" s="4" t="s">
        <v>276</v>
      </c>
      <c r="AF34" s="4"/>
      <c r="AG34" s="4" t="s">
        <v>277</v>
      </c>
      <c r="AH34" s="4"/>
      <c r="AI34" s="4"/>
      <c r="AJ34" s="4"/>
      <c r="AK34" s="4"/>
      <c r="AL34" s="4"/>
      <c r="AM34" s="4"/>
      <c r="AN34" s="4"/>
      <c r="AO34" s="4"/>
      <c r="AP34" s="4"/>
      <c r="AQ34" s="4"/>
      <c r="AR34" s="4" t="s">
        <v>18</v>
      </c>
      <c r="AS34" s="4" t="s">
        <v>6</v>
      </c>
      <c r="AT34" s="4">
        <v>26.66</v>
      </c>
      <c r="AU34" s="4">
        <v>31.99</v>
      </c>
      <c r="AV34" s="4">
        <v>24.01</v>
      </c>
      <c r="AW34" s="4">
        <v>32.01</v>
      </c>
      <c r="AX34" s="2" t="str">
        <f t="shared" si="4"/>
        <v>Encolure dégagée</v>
      </c>
      <c r="AY34" s="2" t="str">
        <f t="shared" si="5"/>
        <v>Sans col</v>
      </c>
      <c r="AZ34" s="2" t="str">
        <f t="shared" si="6"/>
        <v>Style et occasions : robe femme polyvalente idéale pour fêtes costumées, soirées à thème, Oktoberfest, Halloween et cosplay, tout en restant élégante pour des sorties décontractées ou des événements festifs variés.</v>
      </c>
      <c r="BA34" s="2" t="str">
        <f t="shared" si="7"/>
        <v>Matières et confort : confectionnée dans des matières douces comme le velours, la dentelle ou le satin, offrant un port agréable, un toucher délicat et une grande aisance de mouvement tout au long de la journée.</v>
      </c>
      <c r="BB34" s="2" t="str">
        <f t="shared" si="8"/>
        <v>Coupe et silhouette : coupe A évasée et taille haute qui mettent la silhouette en valeur avec élégance, soulignant la taille et apportant une allure gracieuse et féminine en toute circonstance.</v>
      </c>
      <c r="BC34" s="2" t="str">
        <f t="shared" si="9"/>
        <v>Finitions et détails : finitions soignées avec volants, laçage croisé, nœud et tablier pour un style raffiné, romantique et festif qui attire les regards et donne du caractère à la tenue.</v>
      </c>
      <c r="BD34" s="2" t="str">
        <f t="shared" si="10"/>
        <v>Polyvalence et conseil : s’associe aussi bien aux tenues décontractées qu’aux costumes de scène et de spectacle ; avant l’achat, veuillez consulter le guide des tailles pour un ajustement parfait.</v>
      </c>
      <c r="BG34" s="2" t="str">
        <f t="shared" si="11"/>
        <v>Manche épaule dénudée</v>
      </c>
      <c r="BH34" s="2" t="str">
        <f t="shared" si="12"/>
        <v>Cordon de serrage</v>
      </c>
    </row>
    <row r="35" ht="50" hidden="1" customHeight="1" spans="1:60">
      <c r="A35" s="4" t="s">
        <v>278</v>
      </c>
      <c r="B35" s="2" t="s">
        <v>279</v>
      </c>
      <c r="C35" s="2" t="str">
        <f t="shared" si="1"/>
        <v>Es07Qsbfzhad5wJp</v>
      </c>
      <c r="D35" s="4" t="str">
        <f t="shared" si="2"/>
        <v>Jupe Gothique Femme Longueur Cheville Taille Haute Volants</v>
      </c>
      <c r="E35" s="4" t="str">
        <f t="shared" si="3"/>
        <v>Jacquard Texturé Œillets Métalliques Laçage Croisé Taille Haute Longueur Cheville Volants Multicouches Jupe Gothique</v>
      </c>
      <c r="F35" s="4">
        <f t="shared" si="0"/>
        <v>58</v>
      </c>
      <c r="H35" s="4"/>
      <c r="I35" s="4" t="s">
        <v>280</v>
      </c>
      <c r="J35" s="4" t="s">
        <v>258</v>
      </c>
      <c r="K35" s="2" t="s">
        <v>259</v>
      </c>
      <c r="L35" s="2" t="s">
        <v>57</v>
      </c>
      <c r="M35" s="4" t="s">
        <v>6</v>
      </c>
      <c r="N35" s="4" t="s">
        <v>7</v>
      </c>
      <c r="O35" s="4"/>
      <c r="P35" s="4" t="s">
        <v>281</v>
      </c>
      <c r="Q35" s="4" t="s">
        <v>282</v>
      </c>
      <c r="R35" s="4" t="s">
        <v>283</v>
      </c>
      <c r="S35" s="4" t="s">
        <v>284</v>
      </c>
      <c r="T35" s="4"/>
      <c r="U35" s="4"/>
      <c r="V35" s="4"/>
      <c r="W35" s="4"/>
      <c r="X35" s="4"/>
      <c r="Y35" s="4" t="s">
        <v>17</v>
      </c>
      <c r="Z35" s="4"/>
      <c r="AA35" s="4" t="s">
        <v>281</v>
      </c>
      <c r="AB35" s="4"/>
      <c r="AC35" s="4" t="s">
        <v>282</v>
      </c>
      <c r="AD35" s="4"/>
      <c r="AE35" s="4" t="s">
        <v>283</v>
      </c>
      <c r="AF35" s="4"/>
      <c r="AG35" s="4" t="s">
        <v>284</v>
      </c>
      <c r="AH35" s="4"/>
      <c r="AI35" s="4"/>
      <c r="AJ35" s="4"/>
      <c r="AK35" s="4"/>
      <c r="AL35" s="4"/>
      <c r="AM35" s="4"/>
      <c r="AN35" s="4"/>
      <c r="AO35" s="4"/>
      <c r="AP35" s="4"/>
      <c r="AQ35" s="4"/>
      <c r="AR35" s="4" t="s">
        <v>18</v>
      </c>
      <c r="AS35" s="4" t="s">
        <v>6</v>
      </c>
      <c r="AT35" s="4">
        <v>26.66</v>
      </c>
      <c r="AU35" s="4">
        <v>31.99</v>
      </c>
      <c r="AV35" s="4">
        <v>24.01</v>
      </c>
      <c r="AW35" s="4">
        <v>32.01</v>
      </c>
      <c r="AX35" s="2" t="str">
        <f t="shared" si="4"/>
        <v>Encolure dégagée</v>
      </c>
      <c r="AY35" s="2" t="str">
        <f t="shared" si="5"/>
        <v>Sans col</v>
      </c>
      <c r="AZ35" s="2" t="str">
        <f t="shared" si="6"/>
        <v>Style et occasions : robe femme polyvalente idéale pour fêtes costumées, soirées à thème, Oktoberfest, Halloween et cosplay, tout en restant élégante pour des sorties décontractées ou des événements festifs variés.</v>
      </c>
      <c r="BA35" s="2" t="str">
        <f t="shared" si="7"/>
        <v>Matières et confort : confectionnée dans des matières douces comme le velours, la dentelle ou le satin, offrant un port agréable, un toucher délicat et une grande aisance de mouvement tout au long de la journée.</v>
      </c>
      <c r="BB35" s="2" t="str">
        <f t="shared" si="8"/>
        <v>Coupe et silhouette : coupe A évasée et taille haute qui mettent la silhouette en valeur avec élégance, soulignant la taille et apportant une allure gracieuse et féminine en toute circonstance.</v>
      </c>
      <c r="BC35" s="2" t="str">
        <f t="shared" si="9"/>
        <v>Finitions et détails : finitions soignées avec volants, laçage croisé, nœud et tablier pour un style raffiné, romantique et festif qui attire les regards et donne du caractère à la tenue.</v>
      </c>
      <c r="BD35" s="2" t="str">
        <f t="shared" si="10"/>
        <v>Polyvalence et conseil : s’associe aussi bien aux tenues décontractées qu’aux costumes de scène et de spectacle ; avant l’achat, veuillez consulter le guide des tailles pour un ajustement parfait.</v>
      </c>
      <c r="BG35" s="2" t="str">
        <f t="shared" si="11"/>
        <v>Manche épaule dénudée</v>
      </c>
      <c r="BH35" s="2" t="str">
        <f t="shared" si="12"/>
        <v>Cordon de serrage</v>
      </c>
    </row>
    <row r="36" ht="50" hidden="1" customHeight="1" spans="1:60">
      <c r="A36" s="4" t="s">
        <v>285</v>
      </c>
      <c r="B36" s="2" t="s">
        <v>286</v>
      </c>
      <c r="C36" s="2" t="str">
        <f t="shared" si="1"/>
        <v>Es07Qsbfzhad5wJp</v>
      </c>
      <c r="D36" s="4" t="str">
        <f t="shared" si="2"/>
        <v>Jupe Gothique Femme Longueur Cheville Taille Haute Volants</v>
      </c>
      <c r="E36" s="4" t="str">
        <f t="shared" si="3"/>
        <v>Jacquard Texturé Œillets Métalliques Laçage Croisé Taille Haute Longueur Cheville Volants Multicouches Jupe Gothique</v>
      </c>
      <c r="F36" s="4">
        <f t="shared" si="0"/>
        <v>58</v>
      </c>
      <c r="H36" s="4"/>
      <c r="I36" s="4" t="s">
        <v>287</v>
      </c>
      <c r="J36" s="4" t="s">
        <v>258</v>
      </c>
      <c r="K36" s="2" t="s">
        <v>259</v>
      </c>
      <c r="L36" s="2" t="s">
        <v>65</v>
      </c>
      <c r="M36" s="4" t="s">
        <v>6</v>
      </c>
      <c r="N36" s="4" t="s">
        <v>7</v>
      </c>
      <c r="O36" s="4"/>
      <c r="P36" s="4" t="s">
        <v>288</v>
      </c>
      <c r="Q36" s="4" t="s">
        <v>289</v>
      </c>
      <c r="R36" s="4" t="s">
        <v>290</v>
      </c>
      <c r="S36" s="4" t="s">
        <v>291</v>
      </c>
      <c r="T36" s="4"/>
      <c r="U36" s="4"/>
      <c r="V36" s="4"/>
      <c r="W36" s="4"/>
      <c r="X36" s="4"/>
      <c r="Y36" s="4" t="s">
        <v>17</v>
      </c>
      <c r="Z36" s="4"/>
      <c r="AA36" s="4" t="s">
        <v>288</v>
      </c>
      <c r="AB36" s="4"/>
      <c r="AC36" s="4" t="s">
        <v>289</v>
      </c>
      <c r="AD36" s="4"/>
      <c r="AE36" s="4" t="s">
        <v>290</v>
      </c>
      <c r="AF36" s="4"/>
      <c r="AG36" s="4" t="s">
        <v>291</v>
      </c>
      <c r="AH36" s="4"/>
      <c r="AI36" s="4"/>
      <c r="AJ36" s="4"/>
      <c r="AK36" s="4"/>
      <c r="AL36" s="4"/>
      <c r="AM36" s="4"/>
      <c r="AN36" s="4"/>
      <c r="AO36" s="4"/>
      <c r="AP36" s="4"/>
      <c r="AQ36" s="4"/>
      <c r="AR36" s="4" t="s">
        <v>18</v>
      </c>
      <c r="AS36" s="4" t="s">
        <v>6</v>
      </c>
      <c r="AT36" s="4">
        <v>26.66</v>
      </c>
      <c r="AU36" s="4">
        <v>31.99</v>
      </c>
      <c r="AV36" s="4">
        <v>24.01</v>
      </c>
      <c r="AW36" s="4">
        <v>32.01</v>
      </c>
      <c r="AX36" s="2" t="str">
        <f t="shared" si="4"/>
        <v>Encolure dégagée</v>
      </c>
      <c r="AY36" s="2" t="str">
        <f t="shared" si="5"/>
        <v>Sans col</v>
      </c>
      <c r="AZ36" s="2" t="str">
        <f t="shared" si="6"/>
        <v>Style et occasions : robe femme polyvalente idéale pour fêtes costumées, soirées à thème, Oktoberfest, Halloween et cosplay, tout en restant élégante pour des sorties décontractées ou des événements festifs variés.</v>
      </c>
      <c r="BA36" s="2" t="str">
        <f t="shared" si="7"/>
        <v>Matières et confort : confectionnée dans des matières douces comme le velours, la dentelle ou le satin, offrant un port agréable, un toucher délicat et une grande aisance de mouvement tout au long de la journée.</v>
      </c>
      <c r="BB36" s="2" t="str">
        <f t="shared" si="8"/>
        <v>Coupe et silhouette : coupe A évasée et taille haute qui mettent la silhouette en valeur avec élégance, soulignant la taille et apportant une allure gracieuse et féminine en toute circonstance.</v>
      </c>
      <c r="BC36" s="2" t="str">
        <f t="shared" si="9"/>
        <v>Finitions et détails : finitions soignées avec volants, laçage croisé, nœud et tablier pour un style raffiné, romantique et festif qui attire les regards et donne du caractère à la tenue.</v>
      </c>
      <c r="BD36" s="2" t="str">
        <f t="shared" si="10"/>
        <v>Polyvalence et conseil : s’associe aussi bien aux tenues décontractées qu’aux costumes de scène et de spectacle ; avant l’achat, veuillez consulter le guide des tailles pour un ajustement parfait.</v>
      </c>
      <c r="BG36" s="2" t="str">
        <f t="shared" si="11"/>
        <v>Manche épaule dénudée</v>
      </c>
      <c r="BH36" s="2" t="str">
        <f t="shared" si="12"/>
        <v>Cordon de serrage</v>
      </c>
    </row>
    <row r="37" ht="50" customHeight="1" spans="1:60">
      <c r="A37" s="5" t="s">
        <v>292</v>
      </c>
      <c r="B37" s="2" t="s">
        <v>293</v>
      </c>
      <c r="C37" s="2" t="s">
        <v>293</v>
      </c>
      <c r="D37" s="4" t="s">
        <v>294</v>
      </c>
      <c r="E37" s="4" t="s">
        <v>295</v>
      </c>
      <c r="F37" s="4">
        <f t="shared" si="0"/>
        <v>53</v>
      </c>
      <c r="H37" s="4"/>
      <c r="I37" s="4" t="s">
        <v>296</v>
      </c>
      <c r="J37" s="4" t="s">
        <v>31</v>
      </c>
      <c r="K37" s="2"/>
      <c r="L37" s="2"/>
      <c r="M37" s="4" t="s">
        <v>297</v>
      </c>
      <c r="N37" s="4" t="s">
        <v>298</v>
      </c>
      <c r="O37" s="4"/>
      <c r="P37" s="4" t="s">
        <v>299</v>
      </c>
      <c r="Q37" s="4" t="s">
        <v>300</v>
      </c>
      <c r="R37" s="4" t="s">
        <v>301</v>
      </c>
      <c r="S37" s="4"/>
      <c r="T37" s="4"/>
      <c r="U37" s="4"/>
      <c r="V37" s="4"/>
      <c r="W37" s="4"/>
      <c r="X37" s="4"/>
      <c r="Y37" s="4" t="s">
        <v>17</v>
      </c>
      <c r="Z37" s="4"/>
      <c r="AA37" s="4" t="s">
        <v>299</v>
      </c>
      <c r="AB37" s="4"/>
      <c r="AC37" s="4" t="s">
        <v>300</v>
      </c>
      <c r="AD37" s="4"/>
      <c r="AE37" s="4" t="s">
        <v>301</v>
      </c>
      <c r="AF37" s="4"/>
      <c r="AG37" s="4"/>
      <c r="AH37" s="4"/>
      <c r="AI37" s="4"/>
      <c r="AJ37" s="4"/>
      <c r="AK37" s="4"/>
      <c r="AL37" s="4"/>
      <c r="AM37" s="4"/>
      <c r="AN37" s="4"/>
      <c r="AO37" s="4"/>
      <c r="AP37" s="4"/>
      <c r="AQ37" s="4"/>
      <c r="AR37" s="4" t="s">
        <v>18</v>
      </c>
      <c r="AS37" s="4" t="s">
        <v>297</v>
      </c>
      <c r="AT37" s="4">
        <v>20.04</v>
      </c>
      <c r="AU37" s="4">
        <v>24.05</v>
      </c>
      <c r="AV37" s="4">
        <v>16.07</v>
      </c>
      <c r="AW37" s="4">
        <v>24.07</v>
      </c>
      <c r="AX37" s="2" t="s">
        <v>19</v>
      </c>
      <c r="AY37" s="2" t="s">
        <v>20</v>
      </c>
      <c r="AZ37" s="2" t="s">
        <v>302</v>
      </c>
      <c r="BA37" s="2" t="s">
        <v>303</v>
      </c>
      <c r="BB37" s="2" t="s">
        <v>304</v>
      </c>
      <c r="BC37" s="2" t="s">
        <v>305</v>
      </c>
      <c r="BD37" s="2" t="s">
        <v>306</v>
      </c>
      <c r="BG37" s="2" t="s">
        <v>26</v>
      </c>
      <c r="BH37" s="2" t="s">
        <v>307</v>
      </c>
    </row>
    <row r="38" ht="50" hidden="1" customHeight="1" spans="1:60">
      <c r="A38" s="4" t="s">
        <v>308</v>
      </c>
      <c r="B38" s="2" t="s">
        <v>309</v>
      </c>
      <c r="C38" s="2" t="str">
        <f t="shared" ref="C38:E41" si="13">C37</f>
        <v>0InxQlbfzhadxA2j</v>
      </c>
      <c r="D38" s="4" t="str">
        <f t="shared" si="13"/>
        <v>Jupe Plissée Femme Noire Taille Haute Volant Festonné</v>
      </c>
      <c r="E38" s="4" t="str">
        <f t="shared" si="13"/>
        <v>Noire Unie Taille Haute Cœur Boutons Métalliques Volant Festonné Ourlet, Évasé Plissé Décontracté Doux Jupe Plissée</v>
      </c>
      <c r="F38" s="4">
        <f t="shared" si="0"/>
        <v>53</v>
      </c>
      <c r="H38" s="4"/>
      <c r="I38" s="4" t="s">
        <v>310</v>
      </c>
      <c r="J38" s="4" t="s">
        <v>31</v>
      </c>
      <c r="K38" s="2" t="s">
        <v>32</v>
      </c>
      <c r="L38" s="2" t="s">
        <v>33</v>
      </c>
      <c r="M38" s="4" t="s">
        <v>311</v>
      </c>
      <c r="N38" s="4" t="s">
        <v>312</v>
      </c>
      <c r="O38" s="4"/>
      <c r="P38" s="4" t="s">
        <v>313</v>
      </c>
      <c r="Q38" s="4" t="s">
        <v>314</v>
      </c>
      <c r="R38" s="4" t="s">
        <v>315</v>
      </c>
      <c r="S38" s="4" t="s">
        <v>316</v>
      </c>
      <c r="T38" s="4"/>
      <c r="U38" s="4"/>
      <c r="V38" s="4"/>
      <c r="W38" s="4"/>
      <c r="X38" s="4"/>
      <c r="Y38" s="4" t="s">
        <v>17</v>
      </c>
      <c r="Z38" s="4"/>
      <c r="AA38" s="4" t="s">
        <v>313</v>
      </c>
      <c r="AB38" s="4"/>
      <c r="AC38" s="4" t="s">
        <v>314</v>
      </c>
      <c r="AD38" s="4"/>
      <c r="AE38" s="4" t="s">
        <v>315</v>
      </c>
      <c r="AF38" s="4"/>
      <c r="AG38" s="4" t="s">
        <v>316</v>
      </c>
      <c r="AH38" s="4"/>
      <c r="AI38" s="4"/>
      <c r="AJ38" s="4"/>
      <c r="AK38" s="4"/>
      <c r="AL38" s="4"/>
      <c r="AM38" s="4"/>
      <c r="AN38" s="4"/>
      <c r="AO38" s="4"/>
      <c r="AP38" s="4"/>
      <c r="AQ38" s="4"/>
      <c r="AR38" s="4" t="s">
        <v>18</v>
      </c>
      <c r="AS38" s="4" t="s">
        <v>311</v>
      </c>
      <c r="AT38" s="4">
        <v>19.69</v>
      </c>
      <c r="AU38" s="4">
        <v>23.63</v>
      </c>
      <c r="AV38" s="4">
        <v>15.65</v>
      </c>
      <c r="AW38" s="4">
        <v>23.65</v>
      </c>
      <c r="AX38" s="2" t="str">
        <f>AX37</f>
        <v>Encolure dégagée</v>
      </c>
      <c r="AY38" s="2" t="str">
        <f>AY37</f>
        <v>Sans col</v>
      </c>
      <c r="AZ38" s="2" t="str">
        <f t="shared" ref="AZ38:BD41" si="14">AZ37</f>
        <v>Tissus et tombé : confectionnée dans des tissus de qualité comme le tulle, la mousseline ou le jacquard, offrant un tombé souple, léger et fluide qui accompagne chaque mouvement avec élégance et légèreté.</v>
      </c>
      <c r="BA38" s="2" t="str">
        <f t="shared" si="14"/>
        <v>Confort et ajustement : taille élastique et coupe trapèze pour un ajustement confortable, une liberté de mouvement appréciable et une silhouette flatteuse qui convient à différentes morphologies sans sacrifier le style.</v>
      </c>
      <c r="BB38" s="2" t="str">
        <f t="shared" si="14"/>
        <v>Style et détails : manches bouffantes, col carré ou col rond et volants délicats pour une allure romantique, festive et raffinée, parfaite pour les occasions spéciales ou les tenues de scène.</v>
      </c>
      <c r="BC38" s="2" t="str">
        <f t="shared" si="14"/>
        <v>Occasions : convient pour robe de soirée, robe de fête, soirée costumée ou déguisement médiéval, s’adaptant aux ambiances élégantes comme aux reconstitutions historiques ou aux festivals à thème.</v>
      </c>
      <c r="BD38" s="2" t="str">
        <f t="shared" si="14"/>
        <v>Polyvalence et conseil : se porte au quotidien comme sur scène, en spectacle ou en séance cosplay ; avant l’achat, veuillez consulter le guide des tailles pour choisir la coupe la mieux adaptée.</v>
      </c>
      <c r="BG38" s="2" t="str">
        <f t="shared" ref="BG38:BH41" si="15">BG37</f>
        <v>Manche épaule dénudée</v>
      </c>
      <c r="BH38" s="2" t="str">
        <f t="shared" si="15"/>
        <v>Agrafe</v>
      </c>
    </row>
    <row r="39" ht="50" hidden="1" customHeight="1" spans="1:60">
      <c r="A39" s="4" t="s">
        <v>317</v>
      </c>
      <c r="B39" s="2" t="s">
        <v>318</v>
      </c>
      <c r="C39" s="2" t="str">
        <f t="shared" si="13"/>
        <v>0InxQlbfzhadxA2j</v>
      </c>
      <c r="D39" s="4" t="str">
        <f t="shared" si="13"/>
        <v>Jupe Plissée Femme Noire Taille Haute Volant Festonné</v>
      </c>
      <c r="E39" s="4" t="str">
        <f t="shared" si="13"/>
        <v>Noire Unie Taille Haute Cœur Boutons Métalliques Volant Festonné Ourlet, Évasé Plissé Décontracté Doux Jupe Plissée</v>
      </c>
      <c r="F39" s="4">
        <f t="shared" si="0"/>
        <v>53</v>
      </c>
      <c r="H39" s="4"/>
      <c r="I39" s="4" t="s">
        <v>319</v>
      </c>
      <c r="J39" s="4" t="s">
        <v>31</v>
      </c>
      <c r="K39" s="2" t="s">
        <v>32</v>
      </c>
      <c r="L39" s="2" t="s">
        <v>49</v>
      </c>
      <c r="M39" s="4" t="s">
        <v>320</v>
      </c>
      <c r="N39" s="4" t="s">
        <v>321</v>
      </c>
      <c r="O39" s="4"/>
      <c r="P39" s="4" t="s">
        <v>322</v>
      </c>
      <c r="Q39" s="4" t="s">
        <v>323</v>
      </c>
      <c r="R39" s="4" t="s">
        <v>324</v>
      </c>
      <c r="S39" s="4" t="s">
        <v>325</v>
      </c>
      <c r="T39" s="4"/>
      <c r="U39" s="4"/>
      <c r="V39" s="4"/>
      <c r="W39" s="4"/>
      <c r="X39" s="4"/>
      <c r="Y39" s="4" t="s">
        <v>17</v>
      </c>
      <c r="Z39" s="4"/>
      <c r="AA39" s="4" t="s">
        <v>322</v>
      </c>
      <c r="AB39" s="4"/>
      <c r="AC39" s="4" t="s">
        <v>323</v>
      </c>
      <c r="AD39" s="4"/>
      <c r="AE39" s="4" t="s">
        <v>324</v>
      </c>
      <c r="AF39" s="4"/>
      <c r="AG39" s="4" t="s">
        <v>325</v>
      </c>
      <c r="AH39" s="4"/>
      <c r="AI39" s="4"/>
      <c r="AJ39" s="4"/>
      <c r="AK39" s="4"/>
      <c r="AL39" s="4"/>
      <c r="AM39" s="4"/>
      <c r="AN39" s="4"/>
      <c r="AO39" s="4"/>
      <c r="AP39" s="4"/>
      <c r="AQ39" s="4"/>
      <c r="AR39" s="4" t="s">
        <v>18</v>
      </c>
      <c r="AS39" s="4" t="s">
        <v>320</v>
      </c>
      <c r="AT39" s="4">
        <v>19.79</v>
      </c>
      <c r="AU39" s="4">
        <v>23.75</v>
      </c>
      <c r="AV39" s="4">
        <v>15.77</v>
      </c>
      <c r="AW39" s="4">
        <v>23.77</v>
      </c>
      <c r="AX39" s="2" t="str">
        <f>AX38</f>
        <v>Encolure dégagée</v>
      </c>
      <c r="AY39" s="2" t="str">
        <f>AY38</f>
        <v>Sans col</v>
      </c>
      <c r="AZ39" s="2" t="str">
        <f t="shared" si="14"/>
        <v>Tissus et tombé : confectionnée dans des tissus de qualité comme le tulle, la mousseline ou le jacquard, offrant un tombé souple, léger et fluide qui accompagne chaque mouvement avec élégance et légèreté.</v>
      </c>
      <c r="BA39" s="2" t="str">
        <f t="shared" si="14"/>
        <v>Confort et ajustement : taille élastique et coupe trapèze pour un ajustement confortable, une liberté de mouvement appréciable et une silhouette flatteuse qui convient à différentes morphologies sans sacrifier le style.</v>
      </c>
      <c r="BB39" s="2" t="str">
        <f t="shared" si="14"/>
        <v>Style et détails : manches bouffantes, col carré ou col rond et volants délicats pour une allure romantique, festive et raffinée, parfaite pour les occasions spéciales ou les tenues de scène.</v>
      </c>
      <c r="BC39" s="2" t="str">
        <f t="shared" si="14"/>
        <v>Occasions : convient pour robe de soirée, robe de fête, soirée costumée ou déguisement médiéval, s’adaptant aux ambiances élégantes comme aux reconstitutions historiques ou aux festivals à thème.</v>
      </c>
      <c r="BD39" s="2" t="str">
        <f t="shared" si="14"/>
        <v>Polyvalence et conseil : se porte au quotidien comme sur scène, en spectacle ou en séance cosplay ; avant l’achat, veuillez consulter le guide des tailles pour choisir la coupe la mieux adaptée.</v>
      </c>
      <c r="BG39" s="2" t="str">
        <f t="shared" si="15"/>
        <v>Manche épaule dénudée</v>
      </c>
      <c r="BH39" s="2" t="str">
        <f t="shared" si="15"/>
        <v>Agrafe</v>
      </c>
    </row>
    <row r="40" ht="50" hidden="1" customHeight="1" spans="1:60">
      <c r="A40" s="4" t="s">
        <v>326</v>
      </c>
      <c r="B40" s="2" t="s">
        <v>327</v>
      </c>
      <c r="C40" s="2" t="str">
        <f t="shared" si="13"/>
        <v>0InxQlbfzhadxA2j</v>
      </c>
      <c r="D40" s="4" t="str">
        <f t="shared" si="13"/>
        <v>Jupe Plissée Femme Noire Taille Haute Volant Festonné</v>
      </c>
      <c r="E40" s="4" t="str">
        <f t="shared" si="13"/>
        <v>Noire Unie Taille Haute Cœur Boutons Métalliques Volant Festonné Ourlet, Évasé Plissé Décontracté Doux Jupe Plissée</v>
      </c>
      <c r="F40" s="4">
        <f t="shared" si="0"/>
        <v>53</v>
      </c>
      <c r="H40" s="4"/>
      <c r="I40" s="4" t="s">
        <v>328</v>
      </c>
      <c r="J40" s="4" t="s">
        <v>31</v>
      </c>
      <c r="K40" s="2" t="s">
        <v>32</v>
      </c>
      <c r="L40" s="2" t="s">
        <v>57</v>
      </c>
      <c r="M40" s="4" t="s">
        <v>311</v>
      </c>
      <c r="N40" s="4" t="s">
        <v>312</v>
      </c>
      <c r="O40" s="4"/>
      <c r="P40" s="4" t="s">
        <v>329</v>
      </c>
      <c r="Q40" s="4" t="s">
        <v>330</v>
      </c>
      <c r="R40" s="4" t="s">
        <v>331</v>
      </c>
      <c r="S40" s="4" t="s">
        <v>332</v>
      </c>
      <c r="T40" s="4"/>
      <c r="U40" s="4"/>
      <c r="V40" s="4"/>
      <c r="W40" s="4"/>
      <c r="X40" s="4"/>
      <c r="Y40" s="4" t="s">
        <v>17</v>
      </c>
      <c r="Z40" s="4"/>
      <c r="AA40" s="4" t="s">
        <v>329</v>
      </c>
      <c r="AB40" s="4"/>
      <c r="AC40" s="4" t="s">
        <v>330</v>
      </c>
      <c r="AD40" s="4"/>
      <c r="AE40" s="4" t="s">
        <v>331</v>
      </c>
      <c r="AF40" s="4"/>
      <c r="AG40" s="4" t="s">
        <v>332</v>
      </c>
      <c r="AH40" s="4"/>
      <c r="AI40" s="4"/>
      <c r="AJ40" s="4"/>
      <c r="AK40" s="4"/>
      <c r="AL40" s="4"/>
      <c r="AM40" s="4"/>
      <c r="AN40" s="4"/>
      <c r="AO40" s="4"/>
      <c r="AP40" s="4"/>
      <c r="AQ40" s="4"/>
      <c r="AR40" s="4" t="s">
        <v>18</v>
      </c>
      <c r="AS40" s="4" t="s">
        <v>311</v>
      </c>
      <c r="AT40" s="4">
        <v>19.69</v>
      </c>
      <c r="AU40" s="4">
        <v>23.63</v>
      </c>
      <c r="AV40" s="4">
        <v>15.65</v>
      </c>
      <c r="AW40" s="4">
        <v>23.65</v>
      </c>
      <c r="AX40" s="2" t="str">
        <f>AX39</f>
        <v>Encolure dégagée</v>
      </c>
      <c r="AY40" s="2" t="str">
        <f>AY39</f>
        <v>Sans col</v>
      </c>
      <c r="AZ40" s="2" t="str">
        <f t="shared" si="14"/>
        <v>Tissus et tombé : confectionnée dans des tissus de qualité comme le tulle, la mousseline ou le jacquard, offrant un tombé souple, léger et fluide qui accompagne chaque mouvement avec élégance et légèreté.</v>
      </c>
      <c r="BA40" s="2" t="str">
        <f t="shared" si="14"/>
        <v>Confort et ajustement : taille élastique et coupe trapèze pour un ajustement confortable, une liberté de mouvement appréciable et une silhouette flatteuse qui convient à différentes morphologies sans sacrifier le style.</v>
      </c>
      <c r="BB40" s="2" t="str">
        <f t="shared" si="14"/>
        <v>Style et détails : manches bouffantes, col carré ou col rond et volants délicats pour une allure romantique, festive et raffinée, parfaite pour les occasions spéciales ou les tenues de scène.</v>
      </c>
      <c r="BC40" s="2" t="str">
        <f t="shared" si="14"/>
        <v>Occasions : convient pour robe de soirée, robe de fête, soirée costumée ou déguisement médiéval, s’adaptant aux ambiances élégantes comme aux reconstitutions historiques ou aux festivals à thème.</v>
      </c>
      <c r="BD40" s="2" t="str">
        <f t="shared" si="14"/>
        <v>Polyvalence et conseil : se porte au quotidien comme sur scène, en spectacle ou en séance cosplay ; avant l’achat, veuillez consulter le guide des tailles pour choisir la coupe la mieux adaptée.</v>
      </c>
      <c r="BG40" s="2" t="str">
        <f t="shared" si="15"/>
        <v>Manche épaule dénudée</v>
      </c>
      <c r="BH40" s="2" t="str">
        <f t="shared" si="15"/>
        <v>Agrafe</v>
      </c>
    </row>
    <row r="41" ht="50" hidden="1" customHeight="1" spans="1:60">
      <c r="A41" s="4" t="s">
        <v>333</v>
      </c>
      <c r="B41" s="2" t="s">
        <v>334</v>
      </c>
      <c r="C41" s="2" t="str">
        <f t="shared" si="13"/>
        <v>0InxQlbfzhadxA2j</v>
      </c>
      <c r="D41" s="4" t="str">
        <f t="shared" si="13"/>
        <v>Jupe Plissée Femme Noire Taille Haute Volant Festonné</v>
      </c>
      <c r="E41" s="4" t="str">
        <f t="shared" si="13"/>
        <v>Noire Unie Taille Haute Cœur Boutons Métalliques Volant Festonné Ourlet, Évasé Plissé Décontracté Doux Jupe Plissée</v>
      </c>
      <c r="F41" s="4">
        <f t="shared" si="0"/>
        <v>53</v>
      </c>
      <c r="H41" s="4"/>
      <c r="I41" s="4" t="s">
        <v>335</v>
      </c>
      <c r="J41" s="4" t="s">
        <v>31</v>
      </c>
      <c r="K41" s="2" t="s">
        <v>32</v>
      </c>
      <c r="L41" s="2" t="s">
        <v>65</v>
      </c>
      <c r="M41" s="4" t="s">
        <v>336</v>
      </c>
      <c r="N41" s="4" t="s">
        <v>337</v>
      </c>
      <c r="O41" s="4"/>
      <c r="P41" s="4" t="s">
        <v>338</v>
      </c>
      <c r="Q41" s="4" t="s">
        <v>339</v>
      </c>
      <c r="R41" s="4" t="s">
        <v>340</v>
      </c>
      <c r="S41" s="4" t="s">
        <v>341</v>
      </c>
      <c r="T41" s="4"/>
      <c r="U41" s="4"/>
      <c r="V41" s="4"/>
      <c r="W41" s="4"/>
      <c r="X41" s="4"/>
      <c r="Y41" s="4" t="s">
        <v>17</v>
      </c>
      <c r="Z41" s="4"/>
      <c r="AA41" s="4" t="s">
        <v>338</v>
      </c>
      <c r="AB41" s="4"/>
      <c r="AC41" s="4" t="s">
        <v>339</v>
      </c>
      <c r="AD41" s="4"/>
      <c r="AE41" s="4" t="s">
        <v>340</v>
      </c>
      <c r="AF41" s="4"/>
      <c r="AG41" s="4" t="s">
        <v>341</v>
      </c>
      <c r="AH41" s="4"/>
      <c r="AI41" s="4"/>
      <c r="AJ41" s="4"/>
      <c r="AK41" s="4"/>
      <c r="AL41" s="4"/>
      <c r="AM41" s="4"/>
      <c r="AN41" s="4"/>
      <c r="AO41" s="4"/>
      <c r="AP41" s="4"/>
      <c r="AQ41" s="4"/>
      <c r="AR41" s="4" t="s">
        <v>18</v>
      </c>
      <c r="AS41" s="4" t="s">
        <v>336</v>
      </c>
      <c r="AT41" s="4">
        <v>19.98</v>
      </c>
      <c r="AU41" s="4">
        <v>23.98</v>
      </c>
      <c r="AV41" s="4">
        <v>16</v>
      </c>
      <c r="AW41" s="4">
        <v>24</v>
      </c>
      <c r="AX41" s="2" t="str">
        <f>AX40</f>
        <v>Encolure dégagée</v>
      </c>
      <c r="AY41" s="2" t="str">
        <f>AY40</f>
        <v>Sans col</v>
      </c>
      <c r="AZ41" s="2" t="str">
        <f t="shared" si="14"/>
        <v>Tissus et tombé : confectionnée dans des tissus de qualité comme le tulle, la mousseline ou le jacquard, offrant un tombé souple, léger et fluide qui accompagne chaque mouvement avec élégance et légèreté.</v>
      </c>
      <c r="BA41" s="2" t="str">
        <f t="shared" si="14"/>
        <v>Confort et ajustement : taille élastique et coupe trapèze pour un ajustement confortable, une liberté de mouvement appréciable et une silhouette flatteuse qui convient à différentes morphologies sans sacrifier le style.</v>
      </c>
      <c r="BB41" s="2" t="str">
        <f t="shared" si="14"/>
        <v>Style et détails : manches bouffantes, col carré ou col rond et volants délicats pour une allure romantique, festive et raffinée, parfaite pour les occasions spéciales ou les tenues de scène.</v>
      </c>
      <c r="BC41" s="2" t="str">
        <f t="shared" si="14"/>
        <v>Occasions : convient pour robe de soirée, robe de fête, soirée costumée ou déguisement médiéval, s’adaptant aux ambiances élégantes comme aux reconstitutions historiques ou aux festivals à thème.</v>
      </c>
      <c r="BD41" s="2" t="str">
        <f t="shared" si="14"/>
        <v>Polyvalence et conseil : se porte au quotidien comme sur scène, en spectacle ou en séance cosplay ; avant l’achat, veuillez consulter le guide des tailles pour choisir la coupe la mieux adaptée.</v>
      </c>
      <c r="BG41" s="2" t="str">
        <f t="shared" si="15"/>
        <v>Manche épaule dénudée</v>
      </c>
      <c r="BH41" s="2" t="str">
        <f t="shared" si="15"/>
        <v>Agrafe</v>
      </c>
    </row>
    <row r="42" ht="50" customHeight="1" spans="1:60">
      <c r="A42" s="5" t="s">
        <v>342</v>
      </c>
      <c r="B42" s="2" t="s">
        <v>343</v>
      </c>
      <c r="C42" s="2" t="s">
        <v>343</v>
      </c>
      <c r="D42" s="4" t="s">
        <v>344</v>
      </c>
      <c r="E42" s="4" t="s">
        <v>345</v>
      </c>
      <c r="F42" s="4">
        <f t="shared" si="0"/>
        <v>60</v>
      </c>
      <c r="H42" s="4"/>
      <c r="I42" s="4" t="s">
        <v>346</v>
      </c>
      <c r="J42" s="4" t="s">
        <v>31</v>
      </c>
      <c r="K42" s="2"/>
      <c r="L42" s="2"/>
      <c r="M42" s="4" t="s">
        <v>347</v>
      </c>
      <c r="N42" s="4" t="s">
        <v>348</v>
      </c>
      <c r="O42" s="4"/>
      <c r="P42" s="4" t="s">
        <v>349</v>
      </c>
      <c r="Q42" s="4" t="s">
        <v>350</v>
      </c>
      <c r="R42" s="4" t="s">
        <v>351</v>
      </c>
      <c r="S42" s="4" t="s">
        <v>352</v>
      </c>
      <c r="T42" s="4"/>
      <c r="U42" s="4"/>
      <c r="V42" s="4"/>
      <c r="W42" s="4"/>
      <c r="X42" s="4"/>
      <c r="Y42" s="4" t="s">
        <v>17</v>
      </c>
      <c r="Z42" s="4"/>
      <c r="AA42" s="4" t="s">
        <v>349</v>
      </c>
      <c r="AB42" s="4"/>
      <c r="AC42" s="4" t="s">
        <v>350</v>
      </c>
      <c r="AD42" s="4"/>
      <c r="AE42" s="4" t="s">
        <v>351</v>
      </c>
      <c r="AF42" s="4"/>
      <c r="AG42" s="4" t="s">
        <v>352</v>
      </c>
      <c r="AH42" s="4"/>
      <c r="AI42" s="4"/>
      <c r="AJ42" s="4"/>
      <c r="AK42" s="4"/>
      <c r="AL42" s="4"/>
      <c r="AM42" s="4"/>
      <c r="AN42" s="4"/>
      <c r="AO42" s="4"/>
      <c r="AP42" s="4"/>
      <c r="AQ42" s="4"/>
      <c r="AR42" s="4" t="s">
        <v>353</v>
      </c>
      <c r="AS42" s="4" t="s">
        <v>347</v>
      </c>
      <c r="AT42" s="4">
        <v>36.24</v>
      </c>
      <c r="AU42" s="4">
        <v>43.49</v>
      </c>
      <c r="AV42" s="4">
        <v>35.51</v>
      </c>
      <c r="AW42" s="4">
        <v>43.51</v>
      </c>
      <c r="AX42" s="2" t="s">
        <v>354</v>
      </c>
      <c r="AY42" s="2" t="s">
        <v>355</v>
      </c>
      <c r="AZ42" s="2" t="s">
        <v>356</v>
      </c>
      <c r="BA42" s="2" t="s">
        <v>357</v>
      </c>
      <c r="BB42" s="2" t="s">
        <v>358</v>
      </c>
      <c r="BC42" s="2" t="s">
        <v>359</v>
      </c>
      <c r="BD42" s="2" t="s">
        <v>360</v>
      </c>
      <c r="BG42" s="2" t="s">
        <v>361</v>
      </c>
      <c r="BH42" s="2" t="s">
        <v>362</v>
      </c>
    </row>
    <row r="43" ht="50" hidden="1" customHeight="1" spans="1:60">
      <c r="A43" s="4" t="s">
        <v>363</v>
      </c>
      <c r="B43" s="2" t="s">
        <v>364</v>
      </c>
      <c r="C43" s="2" t="str">
        <f t="shared" ref="C43:E50" si="16">C42</f>
        <v>qLJuTjbfzhadb1ky</v>
      </c>
      <c r="D43" s="4" t="str">
        <f t="shared" si="16"/>
        <v>Robe de Soirée Femme Oktoberfest Servante Col Claudine Évasé</v>
      </c>
      <c r="E43" s="4" t="str">
        <f t="shared" si="16"/>
        <v>Ceinturée Col Claudine Manches Papillon Nœud Cœur Tablier Volants Coupe A Évasé Fête Oktoberfest Robe de Servante</v>
      </c>
      <c r="F43" s="4">
        <f t="shared" si="0"/>
        <v>60</v>
      </c>
      <c r="H43" s="4"/>
      <c r="I43" s="4" t="s">
        <v>365</v>
      </c>
      <c r="J43" s="4" t="s">
        <v>31</v>
      </c>
      <c r="K43" s="2" t="s">
        <v>32</v>
      </c>
      <c r="L43" s="2" t="s">
        <v>33</v>
      </c>
      <c r="M43" s="4" t="s">
        <v>347</v>
      </c>
      <c r="N43" s="4" t="s">
        <v>348</v>
      </c>
      <c r="O43" s="4"/>
      <c r="P43" s="4" t="s">
        <v>366</v>
      </c>
      <c r="Q43" s="4" t="s">
        <v>367</v>
      </c>
      <c r="R43" s="4" t="s">
        <v>368</v>
      </c>
      <c r="S43" s="4" t="s">
        <v>369</v>
      </c>
      <c r="T43" s="4" t="s">
        <v>370</v>
      </c>
      <c r="U43" s="4"/>
      <c r="V43" s="4"/>
      <c r="W43" s="4"/>
      <c r="X43" s="4"/>
      <c r="Y43" s="4" t="s">
        <v>17</v>
      </c>
      <c r="Z43" s="4"/>
      <c r="AA43" s="4" t="s">
        <v>366</v>
      </c>
      <c r="AB43" s="4"/>
      <c r="AC43" s="4" t="s">
        <v>367</v>
      </c>
      <c r="AD43" s="4"/>
      <c r="AE43" s="4" t="s">
        <v>368</v>
      </c>
      <c r="AF43" s="4"/>
      <c r="AG43" s="4" t="s">
        <v>369</v>
      </c>
      <c r="AH43" s="4"/>
      <c r="AI43" s="4" t="s">
        <v>370</v>
      </c>
      <c r="AJ43" s="4"/>
      <c r="AK43" s="4"/>
      <c r="AL43" s="4"/>
      <c r="AM43" s="4"/>
      <c r="AN43" s="4"/>
      <c r="AO43" s="4"/>
      <c r="AP43" s="4"/>
      <c r="AQ43" s="4"/>
      <c r="AR43" s="4" t="s">
        <v>353</v>
      </c>
      <c r="AS43" s="4" t="s">
        <v>347</v>
      </c>
      <c r="AT43" s="4">
        <v>36.24</v>
      </c>
      <c r="AU43" s="4">
        <v>43.49</v>
      </c>
      <c r="AV43" s="4">
        <v>35.51</v>
      </c>
      <c r="AW43" s="4">
        <v>43.51</v>
      </c>
      <c r="AX43" s="2" t="str">
        <f t="shared" ref="AX43:AX50" si="17">AX42</f>
        <v>Col festonné</v>
      </c>
      <c r="AY43" s="2" t="str">
        <f t="shared" ref="AY43:AY50" si="18">AY42</f>
        <v>Col peter pan</v>
      </c>
      <c r="AZ43" s="2" t="str">
        <f t="shared" ref="AZ43:BD50" si="19">AZ42</f>
        <v>Détails travaillés : laçage croisé, œillets métalliques, corset et ceinture pour une tenue bien ajustée, au look affirmé et à la finition robuste qui ajoute du caractère et de l’originalité à l’ensemble.</v>
      </c>
      <c r="BA43" s="2" t="str">
        <f t="shared" si="19"/>
        <v>Matières nobles : velours et satin pour un rendu élégant et lumineux, offrant une texture douce, un aspect riche et une allure sophistiquée qui convient aux événements habillés comme aux costumes.</v>
      </c>
      <c r="BB43" s="2" t="str">
        <f t="shared" si="19"/>
        <v>Styles et thèmes : robe gothique, robe médiévale ou robe de cour pour vos événements à thème, Halloween, reconstitutions ou soirées costumées, avec une esthétique immersive et soignée.</v>
      </c>
      <c r="BC43" s="2" t="str">
        <f t="shared" si="19"/>
        <v>Volume et mouvement : jupe ample et évasée à plusieurs couches pour un volume gracieux en mouvement, créant une silhouette majestueuse et fluide qui accompagne chaque pas avec légèreté.</v>
      </c>
      <c r="BD43" s="2" t="str">
        <f t="shared" si="19"/>
        <v>Coupe et conseil : coupe flatteuse qui accompagne la silhouette avec confort ; avant l’achat, veuillez consulter le guide des tailles pour un maintien optimal et un tombé impeccable.</v>
      </c>
      <c r="BG43" s="2" t="str">
        <f t="shared" ref="BG43:BH50" si="20">BG42</f>
        <v>Manche papillon</v>
      </c>
      <c r="BH43" s="2" t="str">
        <f t="shared" si="20"/>
        <v>À enfiler</v>
      </c>
    </row>
    <row r="44" ht="50" hidden="1" customHeight="1" spans="1:60">
      <c r="A44" s="4" t="s">
        <v>371</v>
      </c>
      <c r="B44" s="2" t="s">
        <v>372</v>
      </c>
      <c r="C44" s="2" t="str">
        <f t="shared" si="16"/>
        <v>qLJuTjbfzhadb1ky</v>
      </c>
      <c r="D44" s="4" t="str">
        <f t="shared" si="16"/>
        <v>Robe de Soirée Femme Oktoberfest Servante Col Claudine Évasé</v>
      </c>
      <c r="E44" s="4" t="str">
        <f t="shared" si="16"/>
        <v>Ceinturée Col Claudine Manches Papillon Nœud Cœur Tablier Volants Coupe A Évasé Fête Oktoberfest Robe de Servante</v>
      </c>
      <c r="F44" s="4">
        <f t="shared" si="0"/>
        <v>60</v>
      </c>
      <c r="H44" s="4"/>
      <c r="I44" s="4" t="s">
        <v>373</v>
      </c>
      <c r="J44" s="4" t="s">
        <v>31</v>
      </c>
      <c r="K44" s="2" t="s">
        <v>32</v>
      </c>
      <c r="L44" s="2" t="s">
        <v>41</v>
      </c>
      <c r="M44" s="4" t="s">
        <v>347</v>
      </c>
      <c r="N44" s="4" t="s">
        <v>348</v>
      </c>
      <c r="O44" s="4"/>
      <c r="P44" s="4" t="s">
        <v>374</v>
      </c>
      <c r="Q44" s="4" t="s">
        <v>375</v>
      </c>
      <c r="R44" s="4" t="s">
        <v>376</v>
      </c>
      <c r="S44" s="4" t="s">
        <v>377</v>
      </c>
      <c r="T44" s="4" t="s">
        <v>378</v>
      </c>
      <c r="U44" s="4"/>
      <c r="V44" s="4"/>
      <c r="W44" s="4"/>
      <c r="X44" s="4"/>
      <c r="Y44" s="4" t="s">
        <v>17</v>
      </c>
      <c r="Z44" s="4"/>
      <c r="AA44" s="4" t="s">
        <v>374</v>
      </c>
      <c r="AB44" s="4"/>
      <c r="AC44" s="4" t="s">
        <v>375</v>
      </c>
      <c r="AD44" s="4"/>
      <c r="AE44" s="4" t="s">
        <v>376</v>
      </c>
      <c r="AF44" s="4"/>
      <c r="AG44" s="4" t="s">
        <v>377</v>
      </c>
      <c r="AH44" s="4"/>
      <c r="AI44" s="4" t="s">
        <v>378</v>
      </c>
      <c r="AJ44" s="4"/>
      <c r="AK44" s="4"/>
      <c r="AL44" s="4"/>
      <c r="AM44" s="4"/>
      <c r="AN44" s="4"/>
      <c r="AO44" s="4"/>
      <c r="AP44" s="4"/>
      <c r="AQ44" s="4"/>
      <c r="AR44" s="4" t="s">
        <v>353</v>
      </c>
      <c r="AS44" s="4" t="s">
        <v>347</v>
      </c>
      <c r="AT44" s="4">
        <v>36.24</v>
      </c>
      <c r="AU44" s="4">
        <v>43.49</v>
      </c>
      <c r="AV44" s="4">
        <v>35.51</v>
      </c>
      <c r="AW44" s="4">
        <v>43.51</v>
      </c>
      <c r="AX44" s="2" t="str">
        <f t="shared" si="17"/>
        <v>Col festonné</v>
      </c>
      <c r="AY44" s="2" t="str">
        <f t="shared" si="18"/>
        <v>Col peter pan</v>
      </c>
      <c r="AZ44" s="2" t="str">
        <f t="shared" si="19"/>
        <v>Détails travaillés : laçage croisé, œillets métalliques, corset et ceinture pour une tenue bien ajustée, au look affirmé et à la finition robuste qui ajoute du caractère et de l’originalité à l’ensemble.</v>
      </c>
      <c r="BA44" s="2" t="str">
        <f t="shared" si="19"/>
        <v>Matières nobles : velours et satin pour un rendu élégant et lumineux, offrant une texture douce, un aspect riche et une allure sophistiquée qui convient aux événements habillés comme aux costumes.</v>
      </c>
      <c r="BB44" s="2" t="str">
        <f t="shared" si="19"/>
        <v>Styles et thèmes : robe gothique, robe médiévale ou robe de cour pour vos événements à thème, Halloween, reconstitutions ou soirées costumées, avec une esthétique immersive et soignée.</v>
      </c>
      <c r="BC44" s="2" t="str">
        <f t="shared" si="19"/>
        <v>Volume et mouvement : jupe ample et évasée à plusieurs couches pour un volume gracieux en mouvement, créant une silhouette majestueuse et fluide qui accompagne chaque pas avec légèreté.</v>
      </c>
      <c r="BD44" s="2" t="str">
        <f t="shared" si="19"/>
        <v>Coupe et conseil : coupe flatteuse qui accompagne la silhouette avec confort ; avant l’achat, veuillez consulter le guide des tailles pour un maintien optimal et un tombé impeccable.</v>
      </c>
      <c r="BG44" s="2" t="str">
        <f t="shared" si="20"/>
        <v>Manche papillon</v>
      </c>
      <c r="BH44" s="2" t="str">
        <f t="shared" si="20"/>
        <v>À enfiler</v>
      </c>
    </row>
    <row r="45" ht="50" hidden="1" customHeight="1" spans="1:60">
      <c r="A45" s="4" t="s">
        <v>379</v>
      </c>
      <c r="B45" s="2" t="s">
        <v>380</v>
      </c>
      <c r="C45" s="2" t="str">
        <f t="shared" si="16"/>
        <v>qLJuTjbfzhadb1ky</v>
      </c>
      <c r="D45" s="4" t="str">
        <f t="shared" si="16"/>
        <v>Robe de Soirée Femme Oktoberfest Servante Col Claudine Évasé</v>
      </c>
      <c r="E45" s="4" t="str">
        <f t="shared" si="16"/>
        <v>Ceinturée Col Claudine Manches Papillon Nœud Cœur Tablier Volants Coupe A Évasé Fête Oktoberfest Robe de Servante</v>
      </c>
      <c r="F45" s="4">
        <f t="shared" si="0"/>
        <v>60</v>
      </c>
      <c r="H45" s="4"/>
      <c r="I45" s="4" t="s">
        <v>381</v>
      </c>
      <c r="J45" s="4" t="s">
        <v>31</v>
      </c>
      <c r="K45" s="2" t="s">
        <v>32</v>
      </c>
      <c r="L45" s="2" t="s">
        <v>382</v>
      </c>
      <c r="M45" s="4" t="s">
        <v>347</v>
      </c>
      <c r="N45" s="4" t="s">
        <v>348</v>
      </c>
      <c r="O45" s="4"/>
      <c r="P45" s="4" t="s">
        <v>383</v>
      </c>
      <c r="Q45" s="4" t="s">
        <v>384</v>
      </c>
      <c r="R45" s="4" t="s">
        <v>385</v>
      </c>
      <c r="S45" s="4" t="s">
        <v>386</v>
      </c>
      <c r="T45" s="4" t="s">
        <v>387</v>
      </c>
      <c r="U45" s="4"/>
      <c r="V45" s="4"/>
      <c r="W45" s="4"/>
      <c r="X45" s="4"/>
      <c r="Y45" s="4" t="s">
        <v>17</v>
      </c>
      <c r="Z45" s="4"/>
      <c r="AA45" s="4" t="s">
        <v>383</v>
      </c>
      <c r="AB45" s="4"/>
      <c r="AC45" s="4" t="s">
        <v>384</v>
      </c>
      <c r="AD45" s="4"/>
      <c r="AE45" s="4" t="s">
        <v>385</v>
      </c>
      <c r="AF45" s="4"/>
      <c r="AG45" s="4" t="s">
        <v>386</v>
      </c>
      <c r="AH45" s="4"/>
      <c r="AI45" s="4" t="s">
        <v>387</v>
      </c>
      <c r="AJ45" s="4"/>
      <c r="AK45" s="4"/>
      <c r="AL45" s="4"/>
      <c r="AM45" s="4"/>
      <c r="AN45" s="4"/>
      <c r="AO45" s="4"/>
      <c r="AP45" s="4"/>
      <c r="AQ45" s="4"/>
      <c r="AR45" s="4" t="s">
        <v>353</v>
      </c>
      <c r="AS45" s="4" t="s">
        <v>347</v>
      </c>
      <c r="AT45" s="4">
        <v>36.24</v>
      </c>
      <c r="AU45" s="4">
        <v>43.49</v>
      </c>
      <c r="AV45" s="4">
        <v>35.51</v>
      </c>
      <c r="AW45" s="4">
        <v>43.51</v>
      </c>
      <c r="AX45" s="2" t="str">
        <f t="shared" si="17"/>
        <v>Col festonné</v>
      </c>
      <c r="AY45" s="2" t="str">
        <f t="shared" si="18"/>
        <v>Col peter pan</v>
      </c>
      <c r="AZ45" s="2" t="str">
        <f t="shared" si="19"/>
        <v>Détails travaillés : laçage croisé, œillets métalliques, corset et ceinture pour une tenue bien ajustée, au look affirmé et à la finition robuste qui ajoute du caractère et de l’originalité à l’ensemble.</v>
      </c>
      <c r="BA45" s="2" t="str">
        <f t="shared" si="19"/>
        <v>Matières nobles : velours et satin pour un rendu élégant et lumineux, offrant une texture douce, un aspect riche et une allure sophistiquée qui convient aux événements habillés comme aux costumes.</v>
      </c>
      <c r="BB45" s="2" t="str">
        <f t="shared" si="19"/>
        <v>Styles et thèmes : robe gothique, robe médiévale ou robe de cour pour vos événements à thème, Halloween, reconstitutions ou soirées costumées, avec une esthétique immersive et soignée.</v>
      </c>
      <c r="BC45" s="2" t="str">
        <f t="shared" si="19"/>
        <v>Volume et mouvement : jupe ample et évasée à plusieurs couches pour un volume gracieux en mouvement, créant une silhouette majestueuse et fluide qui accompagne chaque pas avec légèreté.</v>
      </c>
      <c r="BD45" s="2" t="str">
        <f t="shared" si="19"/>
        <v>Coupe et conseil : coupe flatteuse qui accompagne la silhouette avec confort ; avant l’achat, veuillez consulter le guide des tailles pour un maintien optimal et un tombé impeccable.</v>
      </c>
      <c r="BG45" s="2" t="str">
        <f t="shared" si="20"/>
        <v>Manche papillon</v>
      </c>
      <c r="BH45" s="2" t="str">
        <f t="shared" si="20"/>
        <v>À enfiler</v>
      </c>
    </row>
    <row r="46" ht="50" hidden="1" customHeight="1" spans="1:60">
      <c r="A46" s="4" t="s">
        <v>388</v>
      </c>
      <c r="B46" s="2" t="s">
        <v>389</v>
      </c>
      <c r="C46" s="2" t="str">
        <f t="shared" si="16"/>
        <v>qLJuTjbfzhadb1ky</v>
      </c>
      <c r="D46" s="4" t="str">
        <f t="shared" si="16"/>
        <v>Robe de Soirée Femme Oktoberfest Servante Col Claudine Évasé</v>
      </c>
      <c r="E46" s="4" t="str">
        <f t="shared" si="16"/>
        <v>Ceinturée Col Claudine Manches Papillon Nœud Cœur Tablier Volants Coupe A Évasé Fête Oktoberfest Robe de Servante</v>
      </c>
      <c r="F46" s="4">
        <f t="shared" si="0"/>
        <v>60</v>
      </c>
      <c r="H46" s="4"/>
      <c r="I46" s="4" t="s">
        <v>390</v>
      </c>
      <c r="J46" s="4" t="s">
        <v>31</v>
      </c>
      <c r="K46" s="2" t="s">
        <v>32</v>
      </c>
      <c r="L46" s="2" t="s">
        <v>391</v>
      </c>
      <c r="M46" s="4" t="s">
        <v>347</v>
      </c>
      <c r="N46" s="4" t="s">
        <v>348</v>
      </c>
      <c r="O46" s="4"/>
      <c r="P46" s="4" t="s">
        <v>392</v>
      </c>
      <c r="Q46" s="4" t="s">
        <v>393</v>
      </c>
      <c r="R46" s="4" t="s">
        <v>394</v>
      </c>
      <c r="S46" s="4" t="s">
        <v>395</v>
      </c>
      <c r="T46" s="4" t="s">
        <v>396</v>
      </c>
      <c r="U46" s="4"/>
      <c r="V46" s="4"/>
      <c r="W46" s="4"/>
      <c r="X46" s="4"/>
      <c r="Y46" s="4" t="s">
        <v>17</v>
      </c>
      <c r="Z46" s="4"/>
      <c r="AA46" s="4" t="s">
        <v>392</v>
      </c>
      <c r="AB46" s="4"/>
      <c r="AC46" s="4" t="s">
        <v>393</v>
      </c>
      <c r="AD46" s="4"/>
      <c r="AE46" s="4" t="s">
        <v>394</v>
      </c>
      <c r="AF46" s="4"/>
      <c r="AG46" s="4" t="s">
        <v>395</v>
      </c>
      <c r="AH46" s="4"/>
      <c r="AI46" s="4" t="s">
        <v>396</v>
      </c>
      <c r="AJ46" s="4"/>
      <c r="AK46" s="4"/>
      <c r="AL46" s="4"/>
      <c r="AM46" s="4"/>
      <c r="AN46" s="4"/>
      <c r="AO46" s="4"/>
      <c r="AP46" s="4"/>
      <c r="AQ46" s="4"/>
      <c r="AR46" s="4" t="s">
        <v>353</v>
      </c>
      <c r="AS46" s="4" t="s">
        <v>347</v>
      </c>
      <c r="AT46" s="4">
        <v>36.24</v>
      </c>
      <c r="AU46" s="4">
        <v>43.49</v>
      </c>
      <c r="AV46" s="4">
        <v>35.51</v>
      </c>
      <c r="AW46" s="4">
        <v>43.51</v>
      </c>
      <c r="AX46" s="2" t="str">
        <f t="shared" si="17"/>
        <v>Col festonné</v>
      </c>
      <c r="AY46" s="2" t="str">
        <f t="shared" si="18"/>
        <v>Col peter pan</v>
      </c>
      <c r="AZ46" s="2" t="str">
        <f t="shared" si="19"/>
        <v>Détails travaillés : laçage croisé, œillets métalliques, corset et ceinture pour une tenue bien ajustée, au look affirmé et à la finition robuste qui ajoute du caractère et de l’originalité à l’ensemble.</v>
      </c>
      <c r="BA46" s="2" t="str">
        <f t="shared" si="19"/>
        <v>Matières nobles : velours et satin pour un rendu élégant et lumineux, offrant une texture douce, un aspect riche et une allure sophistiquée qui convient aux événements habillés comme aux costumes.</v>
      </c>
      <c r="BB46" s="2" t="str">
        <f t="shared" si="19"/>
        <v>Styles et thèmes : robe gothique, robe médiévale ou robe de cour pour vos événements à thème, Halloween, reconstitutions ou soirées costumées, avec une esthétique immersive et soignée.</v>
      </c>
      <c r="BC46" s="2" t="str">
        <f t="shared" si="19"/>
        <v>Volume et mouvement : jupe ample et évasée à plusieurs couches pour un volume gracieux en mouvement, créant une silhouette majestueuse et fluide qui accompagne chaque pas avec légèreté.</v>
      </c>
      <c r="BD46" s="2" t="str">
        <f t="shared" si="19"/>
        <v>Coupe et conseil : coupe flatteuse qui accompagne la silhouette avec confort ; avant l’achat, veuillez consulter le guide des tailles pour un maintien optimal et un tombé impeccable.</v>
      </c>
      <c r="BG46" s="2" t="str">
        <f t="shared" si="20"/>
        <v>Manche papillon</v>
      </c>
      <c r="BH46" s="2" t="str">
        <f t="shared" si="20"/>
        <v>À enfiler</v>
      </c>
    </row>
    <row r="47" ht="50" hidden="1" customHeight="1" spans="1:60">
      <c r="A47" s="4" t="s">
        <v>397</v>
      </c>
      <c r="B47" s="2" t="s">
        <v>398</v>
      </c>
      <c r="C47" s="2" t="str">
        <f t="shared" si="16"/>
        <v>qLJuTjbfzhadb1ky</v>
      </c>
      <c r="D47" s="4" t="str">
        <f t="shared" si="16"/>
        <v>Robe de Soirée Femme Oktoberfest Servante Col Claudine Évasé</v>
      </c>
      <c r="E47" s="4" t="str">
        <f t="shared" si="16"/>
        <v>Ceinturée Col Claudine Manches Papillon Nœud Cœur Tablier Volants Coupe A Évasé Fête Oktoberfest Robe de Servante</v>
      </c>
      <c r="F47" s="4">
        <f t="shared" si="0"/>
        <v>60</v>
      </c>
      <c r="H47" s="4"/>
      <c r="I47" s="4" t="s">
        <v>399</v>
      </c>
      <c r="J47" s="4" t="s">
        <v>31</v>
      </c>
      <c r="K47" s="2" t="s">
        <v>32</v>
      </c>
      <c r="L47" s="2" t="s">
        <v>400</v>
      </c>
      <c r="M47" s="4" t="s">
        <v>347</v>
      </c>
      <c r="N47" s="4" t="s">
        <v>348</v>
      </c>
      <c r="O47" s="4"/>
      <c r="P47" s="4" t="s">
        <v>401</v>
      </c>
      <c r="Q47" s="4" t="s">
        <v>402</v>
      </c>
      <c r="R47" s="4" t="s">
        <v>403</v>
      </c>
      <c r="S47" s="4" t="s">
        <v>404</v>
      </c>
      <c r="T47" s="4" t="s">
        <v>405</v>
      </c>
      <c r="U47" s="4"/>
      <c r="V47" s="4"/>
      <c r="W47" s="4"/>
      <c r="X47" s="4"/>
      <c r="Y47" s="4" t="s">
        <v>17</v>
      </c>
      <c r="Z47" s="4"/>
      <c r="AA47" s="4" t="s">
        <v>401</v>
      </c>
      <c r="AB47" s="4"/>
      <c r="AC47" s="4" t="s">
        <v>402</v>
      </c>
      <c r="AD47" s="4"/>
      <c r="AE47" s="4" t="s">
        <v>403</v>
      </c>
      <c r="AF47" s="4"/>
      <c r="AG47" s="4" t="s">
        <v>404</v>
      </c>
      <c r="AH47" s="4"/>
      <c r="AI47" s="4" t="s">
        <v>405</v>
      </c>
      <c r="AJ47" s="4"/>
      <c r="AK47" s="4"/>
      <c r="AL47" s="4"/>
      <c r="AM47" s="4"/>
      <c r="AN47" s="4"/>
      <c r="AO47" s="4"/>
      <c r="AP47" s="4"/>
      <c r="AQ47" s="4"/>
      <c r="AR47" s="4" t="s">
        <v>353</v>
      </c>
      <c r="AS47" s="4" t="s">
        <v>347</v>
      </c>
      <c r="AT47" s="4">
        <v>36.24</v>
      </c>
      <c r="AU47" s="4">
        <v>43.49</v>
      </c>
      <c r="AV47" s="4">
        <v>35.51</v>
      </c>
      <c r="AW47" s="4">
        <v>43.51</v>
      </c>
      <c r="AX47" s="2" t="str">
        <f t="shared" si="17"/>
        <v>Col festonné</v>
      </c>
      <c r="AY47" s="2" t="str">
        <f t="shared" si="18"/>
        <v>Col peter pan</v>
      </c>
      <c r="AZ47" s="2" t="str">
        <f t="shared" si="19"/>
        <v>Détails travaillés : laçage croisé, œillets métalliques, corset et ceinture pour une tenue bien ajustée, au look affirmé et à la finition robuste qui ajoute du caractère et de l’originalité à l’ensemble.</v>
      </c>
      <c r="BA47" s="2" t="str">
        <f t="shared" si="19"/>
        <v>Matières nobles : velours et satin pour un rendu élégant et lumineux, offrant une texture douce, un aspect riche et une allure sophistiquée qui convient aux événements habillés comme aux costumes.</v>
      </c>
      <c r="BB47" s="2" t="str">
        <f t="shared" si="19"/>
        <v>Styles et thèmes : robe gothique, robe médiévale ou robe de cour pour vos événements à thème, Halloween, reconstitutions ou soirées costumées, avec une esthétique immersive et soignée.</v>
      </c>
      <c r="BC47" s="2" t="str">
        <f t="shared" si="19"/>
        <v>Volume et mouvement : jupe ample et évasée à plusieurs couches pour un volume gracieux en mouvement, créant une silhouette majestueuse et fluide qui accompagne chaque pas avec légèreté.</v>
      </c>
      <c r="BD47" s="2" t="str">
        <f t="shared" si="19"/>
        <v>Coupe et conseil : coupe flatteuse qui accompagne la silhouette avec confort ; avant l’achat, veuillez consulter le guide des tailles pour un maintien optimal et un tombé impeccable.</v>
      </c>
      <c r="BG47" s="2" t="str">
        <f t="shared" si="20"/>
        <v>Manche papillon</v>
      </c>
      <c r="BH47" s="2" t="str">
        <f t="shared" si="20"/>
        <v>À enfiler</v>
      </c>
    </row>
    <row r="48" ht="50" hidden="1" customHeight="1" spans="1:60">
      <c r="A48" s="4" t="s">
        <v>406</v>
      </c>
      <c r="B48" s="2" t="s">
        <v>407</v>
      </c>
      <c r="C48" s="2" t="str">
        <f t="shared" si="16"/>
        <v>qLJuTjbfzhadb1ky</v>
      </c>
      <c r="D48" s="4" t="str">
        <f t="shared" si="16"/>
        <v>Robe de Soirée Femme Oktoberfest Servante Col Claudine Évasé</v>
      </c>
      <c r="E48" s="4" t="str">
        <f t="shared" si="16"/>
        <v>Ceinturée Col Claudine Manches Papillon Nœud Cœur Tablier Volants Coupe A Évasé Fête Oktoberfest Robe de Servante</v>
      </c>
      <c r="F48" s="4">
        <f t="shared" si="0"/>
        <v>60</v>
      </c>
      <c r="H48" s="4"/>
      <c r="I48" s="4" t="s">
        <v>408</v>
      </c>
      <c r="J48" s="4" t="s">
        <v>31</v>
      </c>
      <c r="K48" s="2" t="s">
        <v>32</v>
      </c>
      <c r="L48" s="2" t="s">
        <v>49</v>
      </c>
      <c r="M48" s="4" t="s">
        <v>347</v>
      </c>
      <c r="N48" s="4" t="s">
        <v>348</v>
      </c>
      <c r="O48" s="4"/>
      <c r="P48" s="4" t="s">
        <v>409</v>
      </c>
      <c r="Q48" s="4" t="s">
        <v>410</v>
      </c>
      <c r="R48" s="4" t="s">
        <v>411</v>
      </c>
      <c r="S48" s="4" t="s">
        <v>412</v>
      </c>
      <c r="T48" s="4" t="s">
        <v>413</v>
      </c>
      <c r="U48" s="4"/>
      <c r="V48" s="4"/>
      <c r="W48" s="4"/>
      <c r="X48" s="4"/>
      <c r="Y48" s="4" t="s">
        <v>17</v>
      </c>
      <c r="Z48" s="4"/>
      <c r="AA48" s="4" t="s">
        <v>409</v>
      </c>
      <c r="AB48" s="4"/>
      <c r="AC48" s="4" t="s">
        <v>410</v>
      </c>
      <c r="AD48" s="4"/>
      <c r="AE48" s="4" t="s">
        <v>411</v>
      </c>
      <c r="AF48" s="4"/>
      <c r="AG48" s="4" t="s">
        <v>412</v>
      </c>
      <c r="AH48" s="4"/>
      <c r="AI48" s="4" t="s">
        <v>413</v>
      </c>
      <c r="AJ48" s="4"/>
      <c r="AK48" s="4"/>
      <c r="AL48" s="4"/>
      <c r="AM48" s="4"/>
      <c r="AN48" s="4"/>
      <c r="AO48" s="4"/>
      <c r="AP48" s="4"/>
      <c r="AQ48" s="4"/>
      <c r="AR48" s="4" t="s">
        <v>353</v>
      </c>
      <c r="AS48" s="4" t="s">
        <v>347</v>
      </c>
      <c r="AT48" s="4">
        <v>36.24</v>
      </c>
      <c r="AU48" s="4">
        <v>43.49</v>
      </c>
      <c r="AV48" s="4">
        <v>35.51</v>
      </c>
      <c r="AW48" s="4">
        <v>43.51</v>
      </c>
      <c r="AX48" s="2" t="str">
        <f t="shared" si="17"/>
        <v>Col festonné</v>
      </c>
      <c r="AY48" s="2" t="str">
        <f t="shared" si="18"/>
        <v>Col peter pan</v>
      </c>
      <c r="AZ48" s="2" t="str">
        <f t="shared" si="19"/>
        <v>Détails travaillés : laçage croisé, œillets métalliques, corset et ceinture pour une tenue bien ajustée, au look affirmé et à la finition robuste qui ajoute du caractère et de l’originalité à l’ensemble.</v>
      </c>
      <c r="BA48" s="2" t="str">
        <f t="shared" si="19"/>
        <v>Matières nobles : velours et satin pour un rendu élégant et lumineux, offrant une texture douce, un aspect riche et une allure sophistiquée qui convient aux événements habillés comme aux costumes.</v>
      </c>
      <c r="BB48" s="2" t="str">
        <f t="shared" si="19"/>
        <v>Styles et thèmes : robe gothique, robe médiévale ou robe de cour pour vos événements à thème, Halloween, reconstitutions ou soirées costumées, avec une esthétique immersive et soignée.</v>
      </c>
      <c r="BC48" s="2" t="str">
        <f t="shared" si="19"/>
        <v>Volume et mouvement : jupe ample et évasée à plusieurs couches pour un volume gracieux en mouvement, créant une silhouette majestueuse et fluide qui accompagne chaque pas avec légèreté.</v>
      </c>
      <c r="BD48" s="2" t="str">
        <f t="shared" si="19"/>
        <v>Coupe et conseil : coupe flatteuse qui accompagne la silhouette avec confort ; avant l’achat, veuillez consulter le guide des tailles pour un maintien optimal et un tombé impeccable.</v>
      </c>
      <c r="BG48" s="2" t="str">
        <f t="shared" si="20"/>
        <v>Manche papillon</v>
      </c>
      <c r="BH48" s="2" t="str">
        <f t="shared" si="20"/>
        <v>À enfiler</v>
      </c>
    </row>
    <row r="49" ht="50" hidden="1" customHeight="1" spans="1:60">
      <c r="A49" s="4" t="s">
        <v>414</v>
      </c>
      <c r="B49" s="2" t="s">
        <v>415</v>
      </c>
      <c r="C49" s="2" t="str">
        <f t="shared" si="16"/>
        <v>qLJuTjbfzhadb1ky</v>
      </c>
      <c r="D49" s="4" t="str">
        <f t="shared" si="16"/>
        <v>Robe de Soirée Femme Oktoberfest Servante Col Claudine Évasé</v>
      </c>
      <c r="E49" s="4" t="str">
        <f t="shared" si="16"/>
        <v>Ceinturée Col Claudine Manches Papillon Nœud Cœur Tablier Volants Coupe A Évasé Fête Oktoberfest Robe de Servante</v>
      </c>
      <c r="F49" s="4">
        <f t="shared" si="0"/>
        <v>60</v>
      </c>
      <c r="H49" s="4"/>
      <c r="I49" s="4" t="s">
        <v>416</v>
      </c>
      <c r="J49" s="4" t="s">
        <v>31</v>
      </c>
      <c r="K49" s="2" t="s">
        <v>32</v>
      </c>
      <c r="L49" s="2" t="s">
        <v>57</v>
      </c>
      <c r="M49" s="4" t="s">
        <v>347</v>
      </c>
      <c r="N49" s="4" t="s">
        <v>348</v>
      </c>
      <c r="O49" s="4"/>
      <c r="P49" s="4" t="s">
        <v>417</v>
      </c>
      <c r="Q49" s="4" t="s">
        <v>418</v>
      </c>
      <c r="R49" s="4" t="s">
        <v>419</v>
      </c>
      <c r="S49" s="4" t="s">
        <v>420</v>
      </c>
      <c r="T49" s="4" t="s">
        <v>421</v>
      </c>
      <c r="U49" s="4"/>
      <c r="V49" s="4"/>
      <c r="W49" s="4"/>
      <c r="X49" s="4"/>
      <c r="Y49" s="4" t="s">
        <v>17</v>
      </c>
      <c r="Z49" s="4"/>
      <c r="AA49" s="4" t="s">
        <v>417</v>
      </c>
      <c r="AB49" s="4"/>
      <c r="AC49" s="4" t="s">
        <v>418</v>
      </c>
      <c r="AD49" s="4"/>
      <c r="AE49" s="4" t="s">
        <v>419</v>
      </c>
      <c r="AF49" s="4"/>
      <c r="AG49" s="4" t="s">
        <v>420</v>
      </c>
      <c r="AH49" s="4"/>
      <c r="AI49" s="4" t="s">
        <v>421</v>
      </c>
      <c r="AJ49" s="4"/>
      <c r="AK49" s="4"/>
      <c r="AL49" s="4"/>
      <c r="AM49" s="4"/>
      <c r="AN49" s="4"/>
      <c r="AO49" s="4"/>
      <c r="AP49" s="4"/>
      <c r="AQ49" s="4"/>
      <c r="AR49" s="4" t="s">
        <v>353</v>
      </c>
      <c r="AS49" s="4" t="s">
        <v>347</v>
      </c>
      <c r="AT49" s="4">
        <v>36.24</v>
      </c>
      <c r="AU49" s="4">
        <v>43.49</v>
      </c>
      <c r="AV49" s="4">
        <v>35.51</v>
      </c>
      <c r="AW49" s="4">
        <v>43.51</v>
      </c>
      <c r="AX49" s="2" t="str">
        <f t="shared" si="17"/>
        <v>Col festonné</v>
      </c>
      <c r="AY49" s="2" t="str">
        <f t="shared" si="18"/>
        <v>Col peter pan</v>
      </c>
      <c r="AZ49" s="2" t="str">
        <f t="shared" si="19"/>
        <v>Détails travaillés : laçage croisé, œillets métalliques, corset et ceinture pour une tenue bien ajustée, au look affirmé et à la finition robuste qui ajoute du caractère et de l’originalité à l’ensemble.</v>
      </c>
      <c r="BA49" s="2" t="str">
        <f t="shared" si="19"/>
        <v>Matières nobles : velours et satin pour un rendu élégant et lumineux, offrant une texture douce, un aspect riche et une allure sophistiquée qui convient aux événements habillés comme aux costumes.</v>
      </c>
      <c r="BB49" s="2" t="str">
        <f t="shared" si="19"/>
        <v>Styles et thèmes : robe gothique, robe médiévale ou robe de cour pour vos événements à thème, Halloween, reconstitutions ou soirées costumées, avec une esthétique immersive et soignée.</v>
      </c>
      <c r="BC49" s="2" t="str">
        <f t="shared" si="19"/>
        <v>Volume et mouvement : jupe ample et évasée à plusieurs couches pour un volume gracieux en mouvement, créant une silhouette majestueuse et fluide qui accompagne chaque pas avec légèreté.</v>
      </c>
      <c r="BD49" s="2" t="str">
        <f t="shared" si="19"/>
        <v>Coupe et conseil : coupe flatteuse qui accompagne la silhouette avec confort ; avant l’achat, veuillez consulter le guide des tailles pour un maintien optimal et un tombé impeccable.</v>
      </c>
      <c r="BG49" s="2" t="str">
        <f t="shared" si="20"/>
        <v>Manche papillon</v>
      </c>
      <c r="BH49" s="2" t="str">
        <f t="shared" si="20"/>
        <v>À enfiler</v>
      </c>
    </row>
    <row r="50" ht="50" hidden="1" customHeight="1" spans="1:60">
      <c r="A50" s="4" t="s">
        <v>422</v>
      </c>
      <c r="B50" s="2" t="s">
        <v>423</v>
      </c>
      <c r="C50" s="2" t="str">
        <f t="shared" si="16"/>
        <v>qLJuTjbfzhadb1ky</v>
      </c>
      <c r="D50" s="4" t="str">
        <f t="shared" si="16"/>
        <v>Robe de Soirée Femme Oktoberfest Servante Col Claudine Évasé</v>
      </c>
      <c r="E50" s="4" t="str">
        <f t="shared" si="16"/>
        <v>Ceinturée Col Claudine Manches Papillon Nœud Cœur Tablier Volants Coupe A Évasé Fête Oktoberfest Robe de Servante</v>
      </c>
      <c r="F50" s="4">
        <f t="shared" si="0"/>
        <v>60</v>
      </c>
      <c r="H50" s="4"/>
      <c r="I50" s="4" t="s">
        <v>424</v>
      </c>
      <c r="J50" s="4" t="s">
        <v>31</v>
      </c>
      <c r="K50" s="2" t="s">
        <v>32</v>
      </c>
      <c r="L50" s="2" t="s">
        <v>65</v>
      </c>
      <c r="M50" s="4" t="s">
        <v>347</v>
      </c>
      <c r="N50" s="4" t="s">
        <v>348</v>
      </c>
      <c r="O50" s="4"/>
      <c r="P50" s="4" t="s">
        <v>425</v>
      </c>
      <c r="Q50" s="4" t="s">
        <v>426</v>
      </c>
      <c r="R50" s="4" t="s">
        <v>427</v>
      </c>
      <c r="S50" s="4" t="s">
        <v>428</v>
      </c>
      <c r="T50" s="4" t="s">
        <v>429</v>
      </c>
      <c r="U50" s="4"/>
      <c r="V50" s="4"/>
      <c r="W50" s="4"/>
      <c r="X50" s="4"/>
      <c r="Y50" s="4" t="s">
        <v>17</v>
      </c>
      <c r="Z50" s="4"/>
      <c r="AA50" s="4" t="s">
        <v>425</v>
      </c>
      <c r="AB50" s="4"/>
      <c r="AC50" s="4" t="s">
        <v>426</v>
      </c>
      <c r="AD50" s="4"/>
      <c r="AE50" s="4" t="s">
        <v>427</v>
      </c>
      <c r="AF50" s="4"/>
      <c r="AG50" s="4" t="s">
        <v>428</v>
      </c>
      <c r="AH50" s="4"/>
      <c r="AI50" s="4" t="s">
        <v>429</v>
      </c>
      <c r="AJ50" s="4"/>
      <c r="AK50" s="4"/>
      <c r="AL50" s="4"/>
      <c r="AM50" s="4"/>
      <c r="AN50" s="4"/>
      <c r="AO50" s="4"/>
      <c r="AP50" s="4"/>
      <c r="AQ50" s="4"/>
      <c r="AR50" s="4" t="s">
        <v>353</v>
      </c>
      <c r="AS50" s="4" t="s">
        <v>347</v>
      </c>
      <c r="AT50" s="4">
        <v>36.24</v>
      </c>
      <c r="AU50" s="4">
        <v>43.49</v>
      </c>
      <c r="AV50" s="4">
        <v>35.51</v>
      </c>
      <c r="AW50" s="4">
        <v>43.51</v>
      </c>
      <c r="AX50" s="2" t="str">
        <f t="shared" si="17"/>
        <v>Col festonné</v>
      </c>
      <c r="AY50" s="2" t="str">
        <f t="shared" si="18"/>
        <v>Col peter pan</v>
      </c>
      <c r="AZ50" s="2" t="str">
        <f t="shared" si="19"/>
        <v>Détails travaillés : laçage croisé, œillets métalliques, corset et ceinture pour une tenue bien ajustée, au look affirmé et à la finition robuste qui ajoute du caractère et de l’originalité à l’ensemble.</v>
      </c>
      <c r="BA50" s="2" t="str">
        <f t="shared" si="19"/>
        <v>Matières nobles : velours et satin pour un rendu élégant et lumineux, offrant une texture douce, un aspect riche et une allure sophistiquée qui convient aux événements habillés comme aux costumes.</v>
      </c>
      <c r="BB50" s="2" t="str">
        <f t="shared" si="19"/>
        <v>Styles et thèmes : robe gothique, robe médiévale ou robe de cour pour vos événements à thème, Halloween, reconstitutions ou soirées costumées, avec une esthétique immersive et soignée.</v>
      </c>
      <c r="BC50" s="2" t="str">
        <f t="shared" si="19"/>
        <v>Volume et mouvement : jupe ample et évasée à plusieurs couches pour un volume gracieux en mouvement, créant une silhouette majestueuse et fluide qui accompagne chaque pas avec légèreté.</v>
      </c>
      <c r="BD50" s="2" t="str">
        <f t="shared" si="19"/>
        <v>Coupe et conseil : coupe flatteuse qui accompagne la silhouette avec confort ; avant l’achat, veuillez consulter le guide des tailles pour un maintien optimal et un tombé impeccable.</v>
      </c>
      <c r="BG50" s="2" t="str">
        <f t="shared" si="20"/>
        <v>Manche papillon</v>
      </c>
      <c r="BH50" s="2" t="str">
        <f t="shared" si="20"/>
        <v>À enfiler</v>
      </c>
    </row>
    <row r="51" ht="50" customHeight="1" spans="1:60">
      <c r="A51" s="5" t="s">
        <v>430</v>
      </c>
      <c r="B51" s="2" t="s">
        <v>431</v>
      </c>
      <c r="C51" s="2" t="s">
        <v>431</v>
      </c>
      <c r="D51" s="4" t="s">
        <v>432</v>
      </c>
      <c r="E51" s="4" t="s">
        <v>433</v>
      </c>
      <c r="F51" s="4">
        <f t="shared" si="0"/>
        <v>63</v>
      </c>
      <c r="H51" s="4"/>
      <c r="I51" s="4" t="s">
        <v>434</v>
      </c>
      <c r="J51" s="4" t="s">
        <v>435</v>
      </c>
      <c r="K51" s="2"/>
      <c r="L51" s="2"/>
      <c r="M51" s="4" t="s">
        <v>436</v>
      </c>
      <c r="N51" s="4" t="s">
        <v>437</v>
      </c>
      <c r="O51" s="4"/>
      <c r="P51" s="4" t="s">
        <v>438</v>
      </c>
      <c r="Q51" s="4" t="s">
        <v>439</v>
      </c>
      <c r="R51" s="4" t="s">
        <v>440</v>
      </c>
      <c r="S51" s="4" t="s">
        <v>441</v>
      </c>
      <c r="T51" s="4" t="s">
        <v>442</v>
      </c>
      <c r="U51" s="4" t="s">
        <v>443</v>
      </c>
      <c r="V51" s="4" t="s">
        <v>444</v>
      </c>
      <c r="W51" s="4" t="s">
        <v>445</v>
      </c>
      <c r="X51" s="4" t="s">
        <v>446</v>
      </c>
      <c r="Y51" s="4" t="s">
        <v>17</v>
      </c>
      <c r="Z51" s="4"/>
      <c r="AA51" s="4" t="s">
        <v>438</v>
      </c>
      <c r="AB51" s="4"/>
      <c r="AC51" s="4" t="s">
        <v>439</v>
      </c>
      <c r="AD51" s="4"/>
      <c r="AE51" s="4" t="s">
        <v>440</v>
      </c>
      <c r="AF51" s="4"/>
      <c r="AG51" s="4" t="s">
        <v>441</v>
      </c>
      <c r="AH51" s="4"/>
      <c r="AI51" s="4" t="s">
        <v>442</v>
      </c>
      <c r="AJ51" s="4"/>
      <c r="AK51" s="4" t="s">
        <v>443</v>
      </c>
      <c r="AL51" s="4"/>
      <c r="AM51" s="4" t="s">
        <v>444</v>
      </c>
      <c r="AN51" s="4"/>
      <c r="AO51" s="4" t="s">
        <v>445</v>
      </c>
      <c r="AP51" s="4"/>
      <c r="AQ51" s="4" t="s">
        <v>446</v>
      </c>
      <c r="AR51" s="4" t="s">
        <v>447</v>
      </c>
      <c r="AS51" s="4" t="s">
        <v>436</v>
      </c>
      <c r="AT51" s="4">
        <v>30.64</v>
      </c>
      <c r="AU51" s="4">
        <v>36.77</v>
      </c>
      <c r="AV51" s="4">
        <v>28.79</v>
      </c>
      <c r="AW51" s="4">
        <v>36.79</v>
      </c>
      <c r="AX51" s="2" t="s">
        <v>448</v>
      </c>
      <c r="AY51" s="2" t="s">
        <v>448</v>
      </c>
      <c r="AZ51" s="2" t="s">
        <v>449</v>
      </c>
      <c r="BA51" s="2" t="s">
        <v>450</v>
      </c>
      <c r="BB51" s="2" t="s">
        <v>451</v>
      </c>
      <c r="BC51" s="2" t="s">
        <v>452</v>
      </c>
      <c r="BD51" s="2" t="s">
        <v>453</v>
      </c>
      <c r="BG51" s="2" t="s">
        <v>454</v>
      </c>
      <c r="BH51" s="2" t="s">
        <v>27</v>
      </c>
    </row>
    <row r="52" ht="50" hidden="1" customHeight="1" spans="1:60">
      <c r="A52" s="4" t="s">
        <v>455</v>
      </c>
      <c r="B52" s="2" t="s">
        <v>456</v>
      </c>
      <c r="C52" s="2" t="str">
        <f t="shared" ref="C52:E55" si="21">C51</f>
        <v>FexVI2bfzhadzkCW</v>
      </c>
      <c r="D52" s="4" t="str">
        <f t="shared" si="21"/>
        <v>Robe Médiévale Fille Cour Cosplay Épaules Dénudées Sans Manches</v>
      </c>
      <c r="E52" s="4" t="str">
        <f t="shared" si="21"/>
        <v>Épaules Dénudées Manches Bouffantes Volant Festonné Col Rond, Jacquard Laçage Croisé Volants, Médiéval Cour Cosplay</v>
      </c>
      <c r="F52" s="4">
        <f t="shared" si="0"/>
        <v>63</v>
      </c>
      <c r="H52" s="4"/>
      <c r="I52" s="4" t="s">
        <v>457</v>
      </c>
      <c r="J52" s="4" t="s">
        <v>435</v>
      </c>
      <c r="K52" s="2" t="s">
        <v>458</v>
      </c>
      <c r="L52" s="2" t="s">
        <v>65</v>
      </c>
      <c r="M52" s="4" t="s">
        <v>459</v>
      </c>
      <c r="N52" s="4" t="s">
        <v>460</v>
      </c>
      <c r="O52" s="4"/>
      <c r="P52" s="4" t="s">
        <v>461</v>
      </c>
      <c r="Q52" s="4" t="s">
        <v>462</v>
      </c>
      <c r="R52" s="4" t="s">
        <v>463</v>
      </c>
      <c r="S52" s="4" t="s">
        <v>464</v>
      </c>
      <c r="T52" s="4" t="s">
        <v>465</v>
      </c>
      <c r="U52" s="4" t="s">
        <v>466</v>
      </c>
      <c r="V52" s="4" t="s">
        <v>467</v>
      </c>
      <c r="W52" s="4" t="s">
        <v>468</v>
      </c>
      <c r="X52" s="4" t="s">
        <v>469</v>
      </c>
      <c r="Y52" s="4" t="s">
        <v>17</v>
      </c>
      <c r="Z52" s="4"/>
      <c r="AA52" s="4" t="s">
        <v>461</v>
      </c>
      <c r="AB52" s="4"/>
      <c r="AC52" s="4" t="s">
        <v>462</v>
      </c>
      <c r="AD52" s="4"/>
      <c r="AE52" s="4" t="s">
        <v>463</v>
      </c>
      <c r="AF52" s="4"/>
      <c r="AG52" s="4" t="s">
        <v>464</v>
      </c>
      <c r="AH52" s="4"/>
      <c r="AI52" s="4" t="s">
        <v>465</v>
      </c>
      <c r="AJ52" s="4"/>
      <c r="AK52" s="4" t="s">
        <v>466</v>
      </c>
      <c r="AL52" s="4"/>
      <c r="AM52" s="4" t="s">
        <v>467</v>
      </c>
      <c r="AN52" s="4"/>
      <c r="AO52" s="4" t="s">
        <v>468</v>
      </c>
      <c r="AP52" s="4"/>
      <c r="AQ52" s="4" t="s">
        <v>469</v>
      </c>
      <c r="AR52" s="4" t="s">
        <v>447</v>
      </c>
      <c r="AS52" s="4" t="s">
        <v>459</v>
      </c>
      <c r="AT52" s="4">
        <v>30.53</v>
      </c>
      <c r="AU52" s="4">
        <v>36.64</v>
      </c>
      <c r="AV52" s="4">
        <v>28.66</v>
      </c>
      <c r="AW52" s="4">
        <v>36.66</v>
      </c>
      <c r="AX52" s="2" t="str">
        <f>AX51</f>
        <v>Col rond</v>
      </c>
      <c r="AY52" s="2" t="str">
        <f>AY51</f>
        <v>Col rond</v>
      </c>
      <c r="AZ52" s="2" t="str">
        <f t="shared" ref="AZ52:BD55" si="22">AZ51</f>
        <v>Ajustement personnalisé : cordon de serrage et taille haute pour un maintien personnalisé et confortable, permettant d’ajuster la robe à votre morphologie et de souligner la taille selon vos envies.</v>
      </c>
      <c r="BA52" s="2" t="str">
        <f t="shared" si="22"/>
        <v>Détails folkloriques : volants, tablier et nœud apportent une touche folklorique et champêtre, renforçant le style traditionnel, chaleureux et authentique de la tenue pour les fêtes de village ou déguisements.</v>
      </c>
      <c r="BB52" s="2" t="str">
        <f t="shared" si="22"/>
        <v>Matières et confort : matières respirantes et douces, comme le coton et la dentelle, pour un port prolongé sans gêne, même lors des longues journées de fête, de spectacle ou de représentation sur scène.</v>
      </c>
      <c r="BC52" s="2" t="str">
        <f t="shared" si="22"/>
        <v>Polyvalence : robe décontractée ou robe de princesse selon vos envies et vos occasions, s’adaptant facilement à un usage quotidien stylé ou à un costume féerique et romantique.</v>
      </c>
      <c r="BD52" s="2" t="str">
        <f t="shared" si="22"/>
        <v>Occasions et conseil : se prête aux fêtes de village, aux soirées déguisées et aux représentations sur scène ; avant l’achat, veuillez consulter le guide des tailles pour bien choisir votre coupe.</v>
      </c>
      <c r="BG52" s="2" t="str">
        <f t="shared" ref="BG52:BH55" si="23">BG51</f>
        <v>Manche bouffante</v>
      </c>
      <c r="BH52" s="2" t="str">
        <f t="shared" si="23"/>
        <v>Cordon de serrage</v>
      </c>
    </row>
    <row r="53" ht="50" hidden="1" customHeight="1" spans="1:60">
      <c r="A53" s="4" t="s">
        <v>470</v>
      </c>
      <c r="B53" s="2" t="s">
        <v>471</v>
      </c>
      <c r="C53" s="2" t="str">
        <f t="shared" si="21"/>
        <v>FexVI2bfzhadzkCW</v>
      </c>
      <c r="D53" s="4" t="str">
        <f t="shared" si="21"/>
        <v>Robe Médiévale Fille Cour Cosplay Épaules Dénudées Sans Manches</v>
      </c>
      <c r="E53" s="4" t="str">
        <f t="shared" si="21"/>
        <v>Épaules Dénudées Manches Bouffantes Volant Festonné Col Rond, Jacquard Laçage Croisé Volants, Médiéval Cour Cosplay</v>
      </c>
      <c r="F53" s="4">
        <f t="shared" si="0"/>
        <v>63</v>
      </c>
      <c r="H53" s="4"/>
      <c r="I53" s="4" t="s">
        <v>472</v>
      </c>
      <c r="J53" s="4" t="s">
        <v>435</v>
      </c>
      <c r="K53" s="2" t="s">
        <v>458</v>
      </c>
      <c r="L53" s="2" t="s">
        <v>41</v>
      </c>
      <c r="M53" s="4" t="s">
        <v>473</v>
      </c>
      <c r="N53" s="4" t="s">
        <v>474</v>
      </c>
      <c r="O53" s="4"/>
      <c r="P53" s="4" t="s">
        <v>475</v>
      </c>
      <c r="Q53" s="4" t="s">
        <v>476</v>
      </c>
      <c r="R53" s="4" t="s">
        <v>477</v>
      </c>
      <c r="S53" s="4" t="s">
        <v>478</v>
      </c>
      <c r="T53" s="4" t="s">
        <v>479</v>
      </c>
      <c r="U53" s="4" t="s">
        <v>480</v>
      </c>
      <c r="V53" s="4" t="s">
        <v>481</v>
      </c>
      <c r="W53" s="4" t="s">
        <v>482</v>
      </c>
      <c r="X53" s="4" t="s">
        <v>483</v>
      </c>
      <c r="Y53" s="4" t="s">
        <v>17</v>
      </c>
      <c r="Z53" s="4"/>
      <c r="AA53" s="4" t="s">
        <v>475</v>
      </c>
      <c r="AB53" s="4"/>
      <c r="AC53" s="4" t="s">
        <v>476</v>
      </c>
      <c r="AD53" s="4"/>
      <c r="AE53" s="4" t="s">
        <v>477</v>
      </c>
      <c r="AF53" s="4"/>
      <c r="AG53" s="4" t="s">
        <v>478</v>
      </c>
      <c r="AH53" s="4"/>
      <c r="AI53" s="4" t="s">
        <v>479</v>
      </c>
      <c r="AJ53" s="4"/>
      <c r="AK53" s="4" t="s">
        <v>480</v>
      </c>
      <c r="AL53" s="4"/>
      <c r="AM53" s="4" t="s">
        <v>481</v>
      </c>
      <c r="AN53" s="4"/>
      <c r="AO53" s="4" t="s">
        <v>482</v>
      </c>
      <c r="AP53" s="4"/>
      <c r="AQ53" s="4" t="s">
        <v>483</v>
      </c>
      <c r="AR53" s="4" t="s">
        <v>447</v>
      </c>
      <c r="AS53" s="4" t="s">
        <v>473</v>
      </c>
      <c r="AT53" s="4">
        <v>30.6</v>
      </c>
      <c r="AU53" s="4">
        <v>36.72</v>
      </c>
      <c r="AV53" s="4">
        <v>28.74</v>
      </c>
      <c r="AW53" s="4">
        <v>36.74</v>
      </c>
      <c r="AX53" s="2" t="str">
        <f>AX52</f>
        <v>Col rond</v>
      </c>
      <c r="AY53" s="2" t="str">
        <f>AY52</f>
        <v>Col rond</v>
      </c>
      <c r="AZ53" s="2" t="str">
        <f t="shared" si="22"/>
        <v>Ajustement personnalisé : cordon de serrage et taille haute pour un maintien personnalisé et confortable, permettant d’ajuster la robe à votre morphologie et de souligner la taille selon vos envies.</v>
      </c>
      <c r="BA53" s="2" t="str">
        <f t="shared" si="22"/>
        <v>Détails folkloriques : volants, tablier et nœud apportent une touche folklorique et champêtre, renforçant le style traditionnel, chaleureux et authentique de la tenue pour les fêtes de village ou déguisements.</v>
      </c>
      <c r="BB53" s="2" t="str">
        <f t="shared" si="22"/>
        <v>Matières et confort : matières respirantes et douces, comme le coton et la dentelle, pour un port prolongé sans gêne, même lors des longues journées de fête, de spectacle ou de représentation sur scène.</v>
      </c>
      <c r="BC53" s="2" t="str">
        <f t="shared" si="22"/>
        <v>Polyvalence : robe décontractée ou robe de princesse selon vos envies et vos occasions, s’adaptant facilement à un usage quotidien stylé ou à un costume féerique et romantique.</v>
      </c>
      <c r="BD53" s="2" t="str">
        <f t="shared" si="22"/>
        <v>Occasions et conseil : se prête aux fêtes de village, aux soirées déguisées et aux représentations sur scène ; avant l’achat, veuillez consulter le guide des tailles pour bien choisir votre coupe.</v>
      </c>
      <c r="BG53" s="2" t="str">
        <f t="shared" si="23"/>
        <v>Manche bouffante</v>
      </c>
      <c r="BH53" s="2" t="str">
        <f t="shared" si="23"/>
        <v>Cordon de serrage</v>
      </c>
    </row>
    <row r="54" ht="50" hidden="1" customHeight="1" spans="1:60">
      <c r="A54" s="4" t="s">
        <v>484</v>
      </c>
      <c r="B54" s="2" t="s">
        <v>485</v>
      </c>
      <c r="C54" s="2" t="str">
        <f t="shared" si="21"/>
        <v>FexVI2bfzhadzkCW</v>
      </c>
      <c r="D54" s="4" t="str">
        <f t="shared" si="21"/>
        <v>Robe Médiévale Fille Cour Cosplay Épaules Dénudées Sans Manches</v>
      </c>
      <c r="E54" s="4" t="str">
        <f t="shared" si="21"/>
        <v>Épaules Dénudées Manches Bouffantes Volant Festonné Col Rond, Jacquard Laçage Croisé Volants, Médiéval Cour Cosplay</v>
      </c>
      <c r="F54" s="4">
        <f t="shared" si="0"/>
        <v>63</v>
      </c>
      <c r="H54" s="4"/>
      <c r="I54" s="4" t="s">
        <v>486</v>
      </c>
      <c r="J54" s="4" t="s">
        <v>435</v>
      </c>
      <c r="K54" s="2" t="s">
        <v>458</v>
      </c>
      <c r="L54" s="2" t="s">
        <v>382</v>
      </c>
      <c r="M54" s="4" t="s">
        <v>487</v>
      </c>
      <c r="N54" s="4" t="s">
        <v>488</v>
      </c>
      <c r="O54" s="4"/>
      <c r="P54" s="4" t="s">
        <v>489</v>
      </c>
      <c r="Q54" s="4" t="s">
        <v>490</v>
      </c>
      <c r="R54" s="4" t="s">
        <v>491</v>
      </c>
      <c r="S54" s="4" t="s">
        <v>492</v>
      </c>
      <c r="T54" s="4" t="s">
        <v>493</v>
      </c>
      <c r="U54" s="4" t="s">
        <v>494</v>
      </c>
      <c r="V54" s="4" t="s">
        <v>495</v>
      </c>
      <c r="W54" s="4" t="s">
        <v>496</v>
      </c>
      <c r="X54" s="4" t="s">
        <v>497</v>
      </c>
      <c r="Y54" s="4" t="s">
        <v>17</v>
      </c>
      <c r="Z54" s="4"/>
      <c r="AA54" s="4" t="s">
        <v>489</v>
      </c>
      <c r="AB54" s="4"/>
      <c r="AC54" s="4" t="s">
        <v>490</v>
      </c>
      <c r="AD54" s="4"/>
      <c r="AE54" s="4" t="s">
        <v>491</v>
      </c>
      <c r="AF54" s="4"/>
      <c r="AG54" s="4" t="s">
        <v>492</v>
      </c>
      <c r="AH54" s="4"/>
      <c r="AI54" s="4" t="s">
        <v>493</v>
      </c>
      <c r="AJ54" s="4"/>
      <c r="AK54" s="4" t="s">
        <v>494</v>
      </c>
      <c r="AL54" s="4"/>
      <c r="AM54" s="4" t="s">
        <v>495</v>
      </c>
      <c r="AN54" s="4"/>
      <c r="AO54" s="4" t="s">
        <v>496</v>
      </c>
      <c r="AP54" s="4"/>
      <c r="AQ54" s="4" t="s">
        <v>497</v>
      </c>
      <c r="AR54" s="4" t="s">
        <v>447</v>
      </c>
      <c r="AS54" s="4" t="s">
        <v>487</v>
      </c>
      <c r="AT54" s="4">
        <v>30.68</v>
      </c>
      <c r="AU54" s="4">
        <v>36.82</v>
      </c>
      <c r="AV54" s="4">
        <v>28.84</v>
      </c>
      <c r="AW54" s="4">
        <v>36.84</v>
      </c>
      <c r="AX54" s="2" t="str">
        <f>AX53</f>
        <v>Col rond</v>
      </c>
      <c r="AY54" s="2" t="str">
        <f>AY53</f>
        <v>Col rond</v>
      </c>
      <c r="AZ54" s="2" t="str">
        <f t="shared" si="22"/>
        <v>Ajustement personnalisé : cordon de serrage et taille haute pour un maintien personnalisé et confortable, permettant d’ajuster la robe à votre morphologie et de souligner la taille selon vos envies.</v>
      </c>
      <c r="BA54" s="2" t="str">
        <f t="shared" si="22"/>
        <v>Détails folkloriques : volants, tablier et nœud apportent une touche folklorique et champêtre, renforçant le style traditionnel, chaleureux et authentique de la tenue pour les fêtes de village ou déguisements.</v>
      </c>
      <c r="BB54" s="2" t="str">
        <f t="shared" si="22"/>
        <v>Matières et confort : matières respirantes et douces, comme le coton et la dentelle, pour un port prolongé sans gêne, même lors des longues journées de fête, de spectacle ou de représentation sur scène.</v>
      </c>
      <c r="BC54" s="2" t="str">
        <f t="shared" si="22"/>
        <v>Polyvalence : robe décontractée ou robe de princesse selon vos envies et vos occasions, s’adaptant facilement à un usage quotidien stylé ou à un costume féerique et romantique.</v>
      </c>
      <c r="BD54" s="2" t="str">
        <f t="shared" si="22"/>
        <v>Occasions et conseil : se prête aux fêtes de village, aux soirées déguisées et aux représentations sur scène ; avant l’achat, veuillez consulter le guide des tailles pour bien choisir votre coupe.</v>
      </c>
      <c r="BG54" s="2" t="str">
        <f t="shared" si="23"/>
        <v>Manche bouffante</v>
      </c>
      <c r="BH54" s="2" t="str">
        <f t="shared" si="23"/>
        <v>Cordon de serrage</v>
      </c>
    </row>
    <row r="55" ht="50" hidden="1" customHeight="1" spans="1:60">
      <c r="A55" s="4" t="s">
        <v>498</v>
      </c>
      <c r="B55" s="2" t="s">
        <v>499</v>
      </c>
      <c r="C55" s="2" t="str">
        <f t="shared" si="21"/>
        <v>FexVI2bfzhadzkCW</v>
      </c>
      <c r="D55" s="4" t="str">
        <f t="shared" si="21"/>
        <v>Robe Médiévale Fille Cour Cosplay Épaules Dénudées Sans Manches</v>
      </c>
      <c r="E55" s="4" t="str">
        <f t="shared" si="21"/>
        <v>Épaules Dénudées Manches Bouffantes Volant Festonné Col Rond, Jacquard Laçage Croisé Volants, Médiéval Cour Cosplay</v>
      </c>
      <c r="F55" s="4">
        <f t="shared" si="0"/>
        <v>63</v>
      </c>
      <c r="H55" s="4"/>
      <c r="I55" s="4" t="s">
        <v>500</v>
      </c>
      <c r="J55" s="4" t="s">
        <v>435</v>
      </c>
      <c r="K55" s="2" t="s">
        <v>458</v>
      </c>
      <c r="L55" s="2" t="s">
        <v>391</v>
      </c>
      <c r="M55" s="4" t="s">
        <v>501</v>
      </c>
      <c r="N55" s="4" t="s">
        <v>502</v>
      </c>
      <c r="O55" s="4"/>
      <c r="P55" s="4" t="s">
        <v>503</v>
      </c>
      <c r="Q55" s="4" t="s">
        <v>504</v>
      </c>
      <c r="R55" s="4" t="s">
        <v>505</v>
      </c>
      <c r="S55" s="4" t="s">
        <v>506</v>
      </c>
      <c r="T55" s="4" t="s">
        <v>507</v>
      </c>
      <c r="U55" s="4" t="s">
        <v>508</v>
      </c>
      <c r="V55" s="4" t="s">
        <v>509</v>
      </c>
      <c r="W55" s="4" t="s">
        <v>510</v>
      </c>
      <c r="X55" s="4" t="s">
        <v>511</v>
      </c>
      <c r="Y55" s="4" t="s">
        <v>17</v>
      </c>
      <c r="Z55" s="4"/>
      <c r="AA55" s="4" t="s">
        <v>503</v>
      </c>
      <c r="AB55" s="4"/>
      <c r="AC55" s="4" t="s">
        <v>504</v>
      </c>
      <c r="AD55" s="4"/>
      <c r="AE55" s="4" t="s">
        <v>505</v>
      </c>
      <c r="AF55" s="4"/>
      <c r="AG55" s="4" t="s">
        <v>506</v>
      </c>
      <c r="AH55" s="4"/>
      <c r="AI55" s="4" t="s">
        <v>507</v>
      </c>
      <c r="AJ55" s="4"/>
      <c r="AK55" s="4" t="s">
        <v>508</v>
      </c>
      <c r="AL55" s="4"/>
      <c r="AM55" s="4" t="s">
        <v>509</v>
      </c>
      <c r="AN55" s="4"/>
      <c r="AO55" s="4" t="s">
        <v>510</v>
      </c>
      <c r="AP55" s="4"/>
      <c r="AQ55" s="4" t="s">
        <v>511</v>
      </c>
      <c r="AR55" s="4" t="s">
        <v>447</v>
      </c>
      <c r="AS55" s="4" t="s">
        <v>501</v>
      </c>
      <c r="AT55" s="4">
        <v>31.55</v>
      </c>
      <c r="AU55" s="4">
        <v>37.86</v>
      </c>
      <c r="AV55" s="4">
        <v>29.88</v>
      </c>
      <c r="AW55" s="4">
        <v>37.88</v>
      </c>
      <c r="AX55" s="2" t="str">
        <f>AX54</f>
        <v>Col rond</v>
      </c>
      <c r="AY55" s="2" t="str">
        <f>AY54</f>
        <v>Col rond</v>
      </c>
      <c r="AZ55" s="2" t="str">
        <f t="shared" si="22"/>
        <v>Ajustement personnalisé : cordon de serrage et taille haute pour un maintien personnalisé et confortable, permettant d’ajuster la robe à votre morphologie et de souligner la taille selon vos envies.</v>
      </c>
      <c r="BA55" s="2" t="str">
        <f t="shared" si="22"/>
        <v>Détails folkloriques : volants, tablier et nœud apportent une touche folklorique et champêtre, renforçant le style traditionnel, chaleureux et authentique de la tenue pour les fêtes de village ou déguisements.</v>
      </c>
      <c r="BB55" s="2" t="str">
        <f t="shared" si="22"/>
        <v>Matières et confort : matières respirantes et douces, comme le coton et la dentelle, pour un port prolongé sans gêne, même lors des longues journées de fête, de spectacle ou de représentation sur scène.</v>
      </c>
      <c r="BC55" s="2" t="str">
        <f t="shared" si="22"/>
        <v>Polyvalence : robe décontractée ou robe de princesse selon vos envies et vos occasions, s’adaptant facilement à un usage quotidien stylé ou à un costume féerique et romantique.</v>
      </c>
      <c r="BD55" s="2" t="str">
        <f t="shared" si="22"/>
        <v>Occasions et conseil : se prête aux fêtes de village, aux soirées déguisées et aux représentations sur scène ; avant l’achat, veuillez consulter le guide des tailles pour bien choisir votre coupe.</v>
      </c>
      <c r="BG55" s="2" t="str">
        <f t="shared" si="23"/>
        <v>Manche bouffante</v>
      </c>
      <c r="BH55" s="2" t="str">
        <f t="shared" si="23"/>
        <v>Cordon de serrage</v>
      </c>
    </row>
  </sheetData>
  <autoFilter xmlns:etc="http://www.wps.cn/officeDocument/2017/etCustomData" ref="A1:F55" etc:filterBottomFollowUsedRange="0">
    <filterColumn colId="0">
      <colorFilter dxfId="0"/>
    </filterColumn>
    <extLst/>
  </autoFilter>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8"/>
  <sheetViews>
    <sheetView workbookViewId="0">
      <selection activeCell="K104" sqref="K104"/>
    </sheetView>
  </sheetViews>
  <sheetFormatPr defaultColWidth="9" defaultRowHeight="13.5"/>
  <sheetData>
    <row r="1" spans="1:5">
      <c r="A1" t="s">
        <v>21</v>
      </c>
      <c r="B1" t="s">
        <v>22</v>
      </c>
      <c r="C1" t="s">
        <v>23</v>
      </c>
      <c r="D1" t="s">
        <v>24</v>
      </c>
      <c r="E1" t="s">
        <v>25</v>
      </c>
    </row>
    <row r="2" spans="1:5">
      <c r="A2" s="1" t="s">
        <v>302</v>
      </c>
      <c r="B2" s="1" t="s">
        <v>303</v>
      </c>
      <c r="C2" s="1" t="s">
        <v>304</v>
      </c>
      <c r="D2" s="1" t="s">
        <v>305</v>
      </c>
      <c r="E2" s="1" t="s">
        <v>306</v>
      </c>
    </row>
    <row r="3" spans="1:5">
      <c r="A3" s="1" t="s">
        <v>356</v>
      </c>
      <c r="B3" s="1" t="s">
        <v>357</v>
      </c>
      <c r="C3" s="1" t="s">
        <v>358</v>
      </c>
      <c r="D3" s="1" t="s">
        <v>359</v>
      </c>
      <c r="E3" s="1" t="s">
        <v>360</v>
      </c>
    </row>
    <row r="4" spans="1:5">
      <c r="A4" s="1" t="s">
        <v>449</v>
      </c>
      <c r="B4" s="1" t="s">
        <v>450</v>
      </c>
      <c r="C4" s="1" t="s">
        <v>451</v>
      </c>
      <c r="D4" s="1" t="s">
        <v>452</v>
      </c>
      <c r="E4" s="1" t="s">
        <v>453</v>
      </c>
    </row>
    <row r="5" spans="1:5">
      <c r="A5" s="1" t="s">
        <v>512</v>
      </c>
      <c r="B5" s="1" t="s">
        <v>513</v>
      </c>
      <c r="C5" s="1" t="s">
        <v>514</v>
      </c>
      <c r="D5" s="1" t="s">
        <v>515</v>
      </c>
      <c r="E5" s="1" t="s">
        <v>516</v>
      </c>
    </row>
    <row r="6" spans="1:5">
      <c r="A6" s="1" t="s">
        <v>517</v>
      </c>
      <c r="B6" s="1" t="s">
        <v>518</v>
      </c>
      <c r="C6" s="1" t="s">
        <v>519</v>
      </c>
      <c r="D6" s="1" t="s">
        <v>520</v>
      </c>
      <c r="E6" s="1" t="s">
        <v>521</v>
      </c>
    </row>
    <row r="7" spans="1:5">
      <c r="A7" s="1" t="s">
        <v>522</v>
      </c>
      <c r="B7" s="1" t="s">
        <v>523</v>
      </c>
      <c r="C7" s="1" t="s">
        <v>524</v>
      </c>
      <c r="D7" s="1" t="s">
        <v>525</v>
      </c>
      <c r="E7" s="1" t="s">
        <v>526</v>
      </c>
    </row>
    <row r="8" spans="1:5">
      <c r="A8" s="1" t="s">
        <v>527</v>
      </c>
      <c r="B8" s="1" t="s">
        <v>528</v>
      </c>
      <c r="C8" s="1" t="s">
        <v>529</v>
      </c>
      <c r="D8" s="1" t="s">
        <v>530</v>
      </c>
      <c r="E8" s="1" t="s">
        <v>531</v>
      </c>
    </row>
    <row r="9" spans="1:5">
      <c r="A9" s="1" t="s">
        <v>532</v>
      </c>
      <c r="B9" s="1" t="s">
        <v>533</v>
      </c>
      <c r="C9" s="1" t="s">
        <v>534</v>
      </c>
      <c r="D9" s="1" t="s">
        <v>535</v>
      </c>
      <c r="E9" s="1" t="s">
        <v>536</v>
      </c>
    </row>
    <row r="10" spans="1:5">
      <c r="A10" s="1" t="s">
        <v>537</v>
      </c>
      <c r="B10" s="1" t="s">
        <v>538</v>
      </c>
      <c r="C10" s="1" t="s">
        <v>539</v>
      </c>
      <c r="D10" s="1" t="s">
        <v>540</v>
      </c>
      <c r="E10" s="1" t="s">
        <v>541</v>
      </c>
    </row>
    <row r="20" spans="1:22">
      <c r="A20" t="s">
        <v>2</v>
      </c>
      <c r="C20" t="s">
        <v>3</v>
      </c>
      <c r="Q20" t="s">
        <v>20</v>
      </c>
      <c r="R20" t="s">
        <v>19</v>
      </c>
      <c r="U20" t="s">
        <v>26</v>
      </c>
      <c r="V20" t="s">
        <v>27</v>
      </c>
    </row>
    <row r="21" spans="1:22">
      <c r="A21" t="s">
        <v>294</v>
      </c>
      <c r="C21" t="s">
        <v>295</v>
      </c>
      <c r="Q21" t="s">
        <v>20</v>
      </c>
      <c r="R21" t="s">
        <v>19</v>
      </c>
      <c r="U21" t="s">
        <v>26</v>
      </c>
      <c r="V21" t="s">
        <v>307</v>
      </c>
    </row>
    <row r="22" spans="1:22">
      <c r="A22" t="s">
        <v>344</v>
      </c>
      <c r="C22" t="s">
        <v>345</v>
      </c>
      <c r="Q22" t="s">
        <v>355</v>
      </c>
      <c r="R22" t="s">
        <v>354</v>
      </c>
      <c r="U22" t="s">
        <v>361</v>
      </c>
      <c r="V22" t="s">
        <v>362</v>
      </c>
    </row>
    <row r="23" spans="1:22">
      <c r="A23" t="s">
        <v>432</v>
      </c>
      <c r="C23" t="s">
        <v>433</v>
      </c>
      <c r="Q23" t="s">
        <v>448</v>
      </c>
      <c r="R23" t="s">
        <v>448</v>
      </c>
      <c r="U23" t="s">
        <v>454</v>
      </c>
      <c r="V23" t="s">
        <v>27</v>
      </c>
    </row>
    <row r="24" spans="1:22">
      <c r="A24" t="s">
        <v>542</v>
      </c>
      <c r="C24" t="s">
        <v>543</v>
      </c>
      <c r="Q24" t="s">
        <v>20</v>
      </c>
      <c r="R24" t="s">
        <v>19</v>
      </c>
      <c r="U24" t="s">
        <v>26</v>
      </c>
      <c r="V24" t="s">
        <v>27</v>
      </c>
    </row>
    <row r="25" spans="1:22">
      <c r="A25" t="s">
        <v>544</v>
      </c>
      <c r="C25" t="s">
        <v>545</v>
      </c>
      <c r="Q25" t="s">
        <v>546</v>
      </c>
      <c r="R25" t="s">
        <v>547</v>
      </c>
      <c r="U25" t="s">
        <v>548</v>
      </c>
      <c r="V25" t="s">
        <v>27</v>
      </c>
    </row>
    <row r="26" spans="1:22">
      <c r="A26" t="s">
        <v>549</v>
      </c>
      <c r="C26" t="s">
        <v>550</v>
      </c>
      <c r="Q26" t="s">
        <v>20</v>
      </c>
      <c r="R26" t="s">
        <v>551</v>
      </c>
      <c r="U26" t="s">
        <v>26</v>
      </c>
      <c r="V26" t="s">
        <v>27</v>
      </c>
    </row>
    <row r="27" spans="1:22">
      <c r="A27" t="s">
        <v>552</v>
      </c>
      <c r="C27" t="s">
        <v>553</v>
      </c>
      <c r="Q27" t="s">
        <v>20</v>
      </c>
      <c r="R27" t="s">
        <v>19</v>
      </c>
      <c r="U27" t="s">
        <v>26</v>
      </c>
      <c r="V27" t="s">
        <v>27</v>
      </c>
    </row>
    <row r="28" spans="1:22">
      <c r="A28" t="s">
        <v>554</v>
      </c>
      <c r="C28" t="s">
        <v>555</v>
      </c>
      <c r="Q28" t="s">
        <v>556</v>
      </c>
      <c r="R28" t="s">
        <v>557</v>
      </c>
      <c r="U28" t="s">
        <v>454</v>
      </c>
      <c r="V28" t="s">
        <v>27</v>
      </c>
    </row>
    <row r="29" spans="1:22">
      <c r="A29" t="s">
        <v>558</v>
      </c>
      <c r="C29" t="s">
        <v>559</v>
      </c>
      <c r="Q29" t="s">
        <v>556</v>
      </c>
      <c r="R29" t="s">
        <v>557</v>
      </c>
      <c r="U29" t="s">
        <v>361</v>
      </c>
      <c r="V29" t="s">
        <v>27</v>
      </c>
    </row>
    <row r="30" spans="1:22">
      <c r="A30" t="s">
        <v>560</v>
      </c>
      <c r="C30" t="s">
        <v>561</v>
      </c>
      <c r="Q30" t="s">
        <v>20</v>
      </c>
      <c r="R30" t="s">
        <v>19</v>
      </c>
      <c r="U30" t="s">
        <v>26</v>
      </c>
      <c r="V30" t="s">
        <v>27</v>
      </c>
    </row>
    <row r="31" spans="1:22">
      <c r="A31" t="s">
        <v>562</v>
      </c>
      <c r="C31" t="s">
        <v>563</v>
      </c>
      <c r="Q31" t="s">
        <v>556</v>
      </c>
      <c r="R31" t="s">
        <v>557</v>
      </c>
      <c r="U31" t="s">
        <v>564</v>
      </c>
      <c r="V31" t="s">
        <v>27</v>
      </c>
    </row>
    <row r="32" spans="1:22">
      <c r="A32" t="s">
        <v>565</v>
      </c>
      <c r="C32" t="s">
        <v>566</v>
      </c>
      <c r="Q32" t="s">
        <v>556</v>
      </c>
      <c r="R32" t="s">
        <v>557</v>
      </c>
      <c r="U32" t="s">
        <v>564</v>
      </c>
      <c r="V32" t="s">
        <v>27</v>
      </c>
    </row>
    <row r="33" spans="1:22">
      <c r="A33" t="s">
        <v>567</v>
      </c>
      <c r="C33" t="s">
        <v>568</v>
      </c>
      <c r="Q33" t="s">
        <v>556</v>
      </c>
      <c r="R33" t="s">
        <v>557</v>
      </c>
      <c r="U33" t="s">
        <v>564</v>
      </c>
      <c r="V33" t="s">
        <v>27</v>
      </c>
    </row>
    <row r="34" spans="1:22">
      <c r="A34" t="s">
        <v>569</v>
      </c>
      <c r="C34" t="s">
        <v>570</v>
      </c>
      <c r="Q34" t="s">
        <v>556</v>
      </c>
      <c r="R34" t="s">
        <v>557</v>
      </c>
      <c r="U34" t="s">
        <v>361</v>
      </c>
      <c r="V34" t="s">
        <v>27</v>
      </c>
    </row>
    <row r="35" spans="1:22">
      <c r="A35" t="s">
        <v>571</v>
      </c>
      <c r="C35" t="s">
        <v>572</v>
      </c>
      <c r="Q35" t="s">
        <v>556</v>
      </c>
      <c r="R35" t="s">
        <v>557</v>
      </c>
      <c r="U35" t="s">
        <v>564</v>
      </c>
      <c r="V35" t="s">
        <v>27</v>
      </c>
    </row>
    <row r="36" spans="1:22">
      <c r="A36" t="s">
        <v>573</v>
      </c>
      <c r="C36" t="s">
        <v>574</v>
      </c>
      <c r="Q36" t="s">
        <v>556</v>
      </c>
      <c r="R36" t="s">
        <v>557</v>
      </c>
      <c r="U36" t="s">
        <v>26</v>
      </c>
      <c r="V36" t="s">
        <v>27</v>
      </c>
    </row>
    <row r="37" spans="1:22">
      <c r="A37" t="s">
        <v>575</v>
      </c>
      <c r="C37" t="s">
        <v>576</v>
      </c>
      <c r="Q37" t="s">
        <v>556</v>
      </c>
      <c r="R37" t="s">
        <v>557</v>
      </c>
      <c r="U37" t="s">
        <v>26</v>
      </c>
      <c r="V37" t="s">
        <v>577</v>
      </c>
    </row>
    <row r="38" spans="1:22">
      <c r="A38" t="s">
        <v>578</v>
      </c>
      <c r="C38" t="s">
        <v>579</v>
      </c>
      <c r="Q38" t="s">
        <v>556</v>
      </c>
      <c r="R38" t="s">
        <v>557</v>
      </c>
      <c r="U38" t="s">
        <v>548</v>
      </c>
      <c r="V38" t="s">
        <v>577</v>
      </c>
    </row>
    <row r="39" spans="1:22">
      <c r="A39" t="s">
        <v>580</v>
      </c>
      <c r="C39" t="s">
        <v>581</v>
      </c>
      <c r="Q39" t="s">
        <v>448</v>
      </c>
      <c r="R39" t="s">
        <v>448</v>
      </c>
      <c r="U39" t="s">
        <v>454</v>
      </c>
      <c r="V39" t="s">
        <v>362</v>
      </c>
    </row>
    <row r="40" spans="1:22">
      <c r="A40" t="s">
        <v>582</v>
      </c>
      <c r="C40" t="s">
        <v>583</v>
      </c>
      <c r="Q40" t="s">
        <v>448</v>
      </c>
      <c r="R40" t="s">
        <v>584</v>
      </c>
      <c r="U40" t="s">
        <v>454</v>
      </c>
      <c r="V40" t="s">
        <v>27</v>
      </c>
    </row>
    <row r="41" spans="1:22">
      <c r="A41" t="s">
        <v>585</v>
      </c>
      <c r="C41" t="s">
        <v>586</v>
      </c>
      <c r="Q41" t="s">
        <v>355</v>
      </c>
      <c r="R41" t="s">
        <v>354</v>
      </c>
      <c r="U41" t="s">
        <v>548</v>
      </c>
      <c r="V41" t="s">
        <v>362</v>
      </c>
    </row>
    <row r="42" spans="1:22">
      <c r="A42" t="s">
        <v>587</v>
      </c>
      <c r="C42" t="s">
        <v>588</v>
      </c>
      <c r="Q42" t="s">
        <v>556</v>
      </c>
      <c r="R42" t="s">
        <v>557</v>
      </c>
      <c r="U42" t="s">
        <v>548</v>
      </c>
      <c r="V42" t="s">
        <v>27</v>
      </c>
    </row>
    <row r="43" spans="1:22">
      <c r="A43" t="s">
        <v>589</v>
      </c>
      <c r="C43" t="s">
        <v>590</v>
      </c>
      <c r="Q43" t="s">
        <v>556</v>
      </c>
      <c r="R43" t="s">
        <v>557</v>
      </c>
      <c r="U43" t="s">
        <v>591</v>
      </c>
      <c r="V43" t="s">
        <v>27</v>
      </c>
    </row>
    <row r="44" spans="1:22">
      <c r="A44" t="s">
        <v>592</v>
      </c>
      <c r="C44" t="s">
        <v>593</v>
      </c>
      <c r="Q44" t="s">
        <v>556</v>
      </c>
      <c r="R44" t="s">
        <v>557</v>
      </c>
      <c r="U44" t="s">
        <v>591</v>
      </c>
      <c r="V44" t="s">
        <v>362</v>
      </c>
    </row>
    <row r="45" spans="1:22">
      <c r="A45" t="s">
        <v>594</v>
      </c>
      <c r="C45" t="s">
        <v>595</v>
      </c>
      <c r="Q45" t="s">
        <v>355</v>
      </c>
      <c r="R45" t="s">
        <v>354</v>
      </c>
      <c r="U45" t="s">
        <v>361</v>
      </c>
      <c r="V45" t="s">
        <v>362</v>
      </c>
    </row>
    <row r="46" spans="1:22">
      <c r="A46" t="s">
        <v>596</v>
      </c>
      <c r="C46" t="s">
        <v>597</v>
      </c>
      <c r="Q46" t="s">
        <v>355</v>
      </c>
      <c r="R46" t="s">
        <v>354</v>
      </c>
      <c r="U46" t="s">
        <v>454</v>
      </c>
      <c r="V46" t="s">
        <v>362</v>
      </c>
    </row>
    <row r="47" spans="1:22">
      <c r="A47" t="s">
        <v>598</v>
      </c>
      <c r="C47" t="s">
        <v>599</v>
      </c>
      <c r="Q47" t="s">
        <v>355</v>
      </c>
      <c r="R47" t="s">
        <v>354</v>
      </c>
      <c r="U47" t="s">
        <v>454</v>
      </c>
      <c r="V47" t="s">
        <v>577</v>
      </c>
    </row>
    <row r="48" spans="1:22">
      <c r="A48" t="s">
        <v>600</v>
      </c>
      <c r="C48" t="s">
        <v>601</v>
      </c>
      <c r="Q48" t="s">
        <v>556</v>
      </c>
      <c r="R48" t="s">
        <v>557</v>
      </c>
      <c r="U48" t="s">
        <v>591</v>
      </c>
      <c r="V48" t="s">
        <v>27</v>
      </c>
    </row>
    <row r="49" spans="1:22">
      <c r="A49" t="s">
        <v>602</v>
      </c>
      <c r="C49" t="s">
        <v>603</v>
      </c>
      <c r="Q49" t="s">
        <v>556</v>
      </c>
      <c r="R49" t="s">
        <v>557</v>
      </c>
      <c r="U49" t="s">
        <v>548</v>
      </c>
      <c r="V49" t="s">
        <v>27</v>
      </c>
    </row>
    <row r="50" spans="1:22">
      <c r="A50" t="s">
        <v>604</v>
      </c>
      <c r="C50" t="s">
        <v>605</v>
      </c>
      <c r="Q50" t="s">
        <v>20</v>
      </c>
      <c r="R50" t="s">
        <v>606</v>
      </c>
      <c r="U50" t="s">
        <v>454</v>
      </c>
      <c r="V50" t="s">
        <v>27</v>
      </c>
    </row>
    <row r="51" spans="1:22">
      <c r="A51" t="s">
        <v>607</v>
      </c>
      <c r="C51" t="s">
        <v>608</v>
      </c>
      <c r="Q51" t="s">
        <v>556</v>
      </c>
      <c r="R51" t="s">
        <v>557</v>
      </c>
      <c r="U51" t="s">
        <v>564</v>
      </c>
      <c r="V51" t="s">
        <v>577</v>
      </c>
    </row>
    <row r="52" spans="1:22">
      <c r="A52" t="s">
        <v>609</v>
      </c>
      <c r="C52" t="s">
        <v>610</v>
      </c>
      <c r="Q52" t="s">
        <v>448</v>
      </c>
      <c r="R52" t="s">
        <v>448</v>
      </c>
      <c r="U52" t="s">
        <v>611</v>
      </c>
      <c r="V52" t="s">
        <v>362</v>
      </c>
    </row>
    <row r="53" spans="1:22">
      <c r="A53" t="s">
        <v>612</v>
      </c>
      <c r="C53" t="s">
        <v>613</v>
      </c>
      <c r="Q53" t="s">
        <v>20</v>
      </c>
      <c r="R53" t="s">
        <v>551</v>
      </c>
      <c r="U53" t="s">
        <v>454</v>
      </c>
      <c r="V53" t="s">
        <v>362</v>
      </c>
    </row>
    <row r="54" spans="1:22">
      <c r="A54" t="s">
        <v>614</v>
      </c>
      <c r="C54" t="s">
        <v>615</v>
      </c>
      <c r="Q54" t="s">
        <v>20</v>
      </c>
      <c r="R54" t="s">
        <v>551</v>
      </c>
      <c r="U54" t="s">
        <v>454</v>
      </c>
      <c r="V54" t="s">
        <v>27</v>
      </c>
    </row>
    <row r="55" spans="1:22">
      <c r="A55" t="s">
        <v>616</v>
      </c>
      <c r="C55" t="s">
        <v>617</v>
      </c>
      <c r="Q55" t="s">
        <v>556</v>
      </c>
      <c r="R55" t="s">
        <v>557</v>
      </c>
      <c r="U55" t="s">
        <v>548</v>
      </c>
      <c r="V55" t="s">
        <v>27</v>
      </c>
    </row>
    <row r="56" spans="1:22">
      <c r="A56" t="s">
        <v>618</v>
      </c>
      <c r="C56" t="s">
        <v>619</v>
      </c>
      <c r="Q56" t="s">
        <v>620</v>
      </c>
      <c r="R56" t="s">
        <v>354</v>
      </c>
      <c r="U56" t="s">
        <v>454</v>
      </c>
      <c r="V56" t="s">
        <v>27</v>
      </c>
    </row>
    <row r="57" spans="1:22">
      <c r="A57" t="s">
        <v>621</v>
      </c>
      <c r="C57" t="s">
        <v>622</v>
      </c>
      <c r="Q57" t="s">
        <v>620</v>
      </c>
      <c r="R57" t="s">
        <v>354</v>
      </c>
      <c r="U57" t="s">
        <v>548</v>
      </c>
      <c r="V57" t="s">
        <v>27</v>
      </c>
    </row>
    <row r="58" spans="1:22">
      <c r="A58" t="s">
        <v>623</v>
      </c>
      <c r="C58" t="s">
        <v>624</v>
      </c>
      <c r="Q58" t="s">
        <v>448</v>
      </c>
      <c r="R58" t="s">
        <v>448</v>
      </c>
      <c r="U58" t="s">
        <v>611</v>
      </c>
      <c r="V58" t="s">
        <v>27</v>
      </c>
    </row>
    <row r="59" spans="1:22">
      <c r="A59" t="s">
        <v>625</v>
      </c>
      <c r="C59" t="s">
        <v>626</v>
      </c>
      <c r="Q59" t="s">
        <v>556</v>
      </c>
      <c r="R59" t="s">
        <v>557</v>
      </c>
      <c r="U59" t="s">
        <v>361</v>
      </c>
      <c r="V59" t="s">
        <v>27</v>
      </c>
    </row>
    <row r="60" spans="1:22">
      <c r="A60" t="s">
        <v>627</v>
      </c>
      <c r="C60" t="s">
        <v>628</v>
      </c>
      <c r="Q60" t="s">
        <v>20</v>
      </c>
      <c r="R60" t="s">
        <v>606</v>
      </c>
      <c r="U60" t="s">
        <v>26</v>
      </c>
      <c r="V60" t="s">
        <v>27</v>
      </c>
    </row>
    <row r="61" spans="1:22">
      <c r="A61" t="s">
        <v>629</v>
      </c>
      <c r="C61" t="s">
        <v>630</v>
      </c>
      <c r="Q61" t="s">
        <v>355</v>
      </c>
      <c r="R61" t="s">
        <v>354</v>
      </c>
      <c r="U61" t="s">
        <v>454</v>
      </c>
      <c r="V61" t="s">
        <v>27</v>
      </c>
    </row>
    <row r="62" spans="1:22">
      <c r="A62" t="s">
        <v>631</v>
      </c>
      <c r="C62" t="s">
        <v>632</v>
      </c>
      <c r="Q62" t="s">
        <v>556</v>
      </c>
      <c r="R62" t="s">
        <v>557</v>
      </c>
      <c r="U62" t="s">
        <v>454</v>
      </c>
      <c r="V62" t="s">
        <v>27</v>
      </c>
    </row>
    <row r="63" spans="1:22">
      <c r="A63" t="s">
        <v>633</v>
      </c>
      <c r="C63" t="s">
        <v>634</v>
      </c>
      <c r="Q63" t="s">
        <v>556</v>
      </c>
      <c r="R63" t="s">
        <v>557</v>
      </c>
      <c r="U63" t="s">
        <v>454</v>
      </c>
      <c r="V63" t="s">
        <v>27</v>
      </c>
    </row>
    <row r="64" spans="1:22">
      <c r="A64" t="s">
        <v>635</v>
      </c>
      <c r="C64" t="s">
        <v>636</v>
      </c>
      <c r="Q64" t="s">
        <v>448</v>
      </c>
      <c r="R64" t="s">
        <v>448</v>
      </c>
      <c r="U64" t="s">
        <v>564</v>
      </c>
      <c r="V64" t="s">
        <v>362</v>
      </c>
    </row>
    <row r="65" spans="1:22">
      <c r="A65" t="s">
        <v>637</v>
      </c>
      <c r="C65" t="s">
        <v>638</v>
      </c>
      <c r="Q65" t="s">
        <v>546</v>
      </c>
      <c r="R65" t="s">
        <v>639</v>
      </c>
      <c r="U65" t="s">
        <v>454</v>
      </c>
      <c r="V65" t="s">
        <v>27</v>
      </c>
    </row>
    <row r="66" spans="1:22">
      <c r="A66" t="s">
        <v>640</v>
      </c>
      <c r="C66" t="s">
        <v>641</v>
      </c>
      <c r="Q66" t="s">
        <v>20</v>
      </c>
      <c r="R66" t="s">
        <v>551</v>
      </c>
      <c r="U66" t="s">
        <v>591</v>
      </c>
      <c r="V66" t="s">
        <v>27</v>
      </c>
    </row>
    <row r="67" spans="1:22">
      <c r="A67" t="s">
        <v>642</v>
      </c>
      <c r="C67" t="s">
        <v>643</v>
      </c>
      <c r="Q67" t="s">
        <v>448</v>
      </c>
      <c r="R67" t="s">
        <v>448</v>
      </c>
      <c r="U67" t="s">
        <v>454</v>
      </c>
      <c r="V67" t="s">
        <v>27</v>
      </c>
    </row>
    <row r="68" spans="1:22">
      <c r="A68" t="s">
        <v>644</v>
      </c>
      <c r="C68" t="s">
        <v>645</v>
      </c>
      <c r="Q68" t="s">
        <v>20</v>
      </c>
      <c r="R68" t="s">
        <v>646</v>
      </c>
      <c r="U68" t="s">
        <v>591</v>
      </c>
      <c r="V68" t="s">
        <v>27</v>
      </c>
    </row>
    <row r="69" spans="1:22">
      <c r="A69" t="s">
        <v>647</v>
      </c>
      <c r="C69" t="s">
        <v>648</v>
      </c>
      <c r="Q69" t="s">
        <v>20</v>
      </c>
      <c r="R69" t="s">
        <v>606</v>
      </c>
      <c r="U69" t="s">
        <v>26</v>
      </c>
      <c r="V69" t="s">
        <v>27</v>
      </c>
    </row>
    <row r="70" spans="1:22">
      <c r="A70" t="s">
        <v>649</v>
      </c>
      <c r="C70" t="s">
        <v>650</v>
      </c>
      <c r="Q70" t="s">
        <v>20</v>
      </c>
      <c r="R70" t="s">
        <v>551</v>
      </c>
      <c r="U70" t="s">
        <v>26</v>
      </c>
      <c r="V70" t="s">
        <v>27</v>
      </c>
    </row>
    <row r="71" spans="1:22">
      <c r="A71" t="s">
        <v>651</v>
      </c>
      <c r="C71" t="s">
        <v>652</v>
      </c>
      <c r="Q71" t="s">
        <v>556</v>
      </c>
      <c r="R71" t="s">
        <v>557</v>
      </c>
      <c r="U71" t="s">
        <v>591</v>
      </c>
      <c r="V71" t="s">
        <v>577</v>
      </c>
    </row>
    <row r="72" spans="1:22">
      <c r="A72" t="s">
        <v>653</v>
      </c>
      <c r="C72" t="s">
        <v>654</v>
      </c>
      <c r="Q72" t="s">
        <v>20</v>
      </c>
      <c r="R72" t="s">
        <v>606</v>
      </c>
      <c r="U72" t="s">
        <v>591</v>
      </c>
      <c r="V72" t="s">
        <v>27</v>
      </c>
    </row>
    <row r="73" spans="1:22">
      <c r="A73" t="s">
        <v>655</v>
      </c>
      <c r="C73" t="s">
        <v>656</v>
      </c>
      <c r="Q73" t="s">
        <v>20</v>
      </c>
      <c r="R73" t="s">
        <v>657</v>
      </c>
      <c r="U73" t="s">
        <v>454</v>
      </c>
      <c r="V73" t="s">
        <v>27</v>
      </c>
    </row>
    <row r="74" spans="1:22">
      <c r="A74" t="s">
        <v>658</v>
      </c>
      <c r="C74" t="s">
        <v>659</v>
      </c>
      <c r="Q74" t="s">
        <v>448</v>
      </c>
      <c r="R74" t="s">
        <v>448</v>
      </c>
      <c r="U74" t="s">
        <v>591</v>
      </c>
      <c r="V74" t="s">
        <v>362</v>
      </c>
    </row>
    <row r="75" spans="1:22">
      <c r="A75" t="s">
        <v>660</v>
      </c>
      <c r="C75" t="s">
        <v>661</v>
      </c>
      <c r="Q75" t="s">
        <v>662</v>
      </c>
      <c r="R75" t="s">
        <v>663</v>
      </c>
      <c r="U75" t="s">
        <v>664</v>
      </c>
      <c r="V75" t="s">
        <v>362</v>
      </c>
    </row>
    <row r="76" spans="1:22">
      <c r="A76" t="s">
        <v>665</v>
      </c>
      <c r="C76" t="s">
        <v>666</v>
      </c>
      <c r="Q76" t="s">
        <v>556</v>
      </c>
      <c r="R76" t="s">
        <v>557</v>
      </c>
      <c r="U76" t="s">
        <v>26</v>
      </c>
      <c r="V76" t="s">
        <v>362</v>
      </c>
    </row>
    <row r="77" spans="1:22">
      <c r="A77" t="s">
        <v>667</v>
      </c>
      <c r="C77" t="s">
        <v>668</v>
      </c>
      <c r="Q77" t="s">
        <v>556</v>
      </c>
      <c r="R77" t="s">
        <v>557</v>
      </c>
      <c r="U77" t="s">
        <v>669</v>
      </c>
      <c r="V77" t="s">
        <v>27</v>
      </c>
    </row>
    <row r="78" spans="1:22">
      <c r="A78" t="s">
        <v>670</v>
      </c>
      <c r="C78" t="s">
        <v>671</v>
      </c>
      <c r="Q78" t="s">
        <v>20</v>
      </c>
      <c r="R78" t="s">
        <v>551</v>
      </c>
      <c r="U78" t="s">
        <v>591</v>
      </c>
      <c r="V78" t="s">
        <v>27</v>
      </c>
    </row>
    <row r="79" spans="1:22">
      <c r="A79" t="s">
        <v>672</v>
      </c>
      <c r="C79" t="s">
        <v>673</v>
      </c>
      <c r="Q79" t="s">
        <v>20</v>
      </c>
      <c r="R79" t="s">
        <v>551</v>
      </c>
      <c r="U79" t="s">
        <v>591</v>
      </c>
      <c r="V79" t="s">
        <v>27</v>
      </c>
    </row>
    <row r="80" spans="1:22">
      <c r="A80" t="s">
        <v>674</v>
      </c>
      <c r="C80" t="s">
        <v>675</v>
      </c>
      <c r="Q80" t="s">
        <v>20</v>
      </c>
      <c r="R80" t="s">
        <v>551</v>
      </c>
      <c r="U80" t="s">
        <v>591</v>
      </c>
      <c r="V80" t="s">
        <v>27</v>
      </c>
    </row>
    <row r="81" spans="1:22">
      <c r="A81" t="s">
        <v>676</v>
      </c>
      <c r="C81" t="s">
        <v>677</v>
      </c>
      <c r="Q81" t="s">
        <v>20</v>
      </c>
      <c r="R81" t="s">
        <v>646</v>
      </c>
      <c r="U81" t="s">
        <v>664</v>
      </c>
      <c r="V81" t="s">
        <v>362</v>
      </c>
    </row>
    <row r="82" spans="1:22">
      <c r="A82" t="s">
        <v>678</v>
      </c>
      <c r="C82" t="s">
        <v>679</v>
      </c>
      <c r="Q82" t="s">
        <v>448</v>
      </c>
      <c r="R82" t="s">
        <v>448</v>
      </c>
      <c r="U82" t="s">
        <v>564</v>
      </c>
      <c r="V82" t="s">
        <v>362</v>
      </c>
    </row>
    <row r="83" spans="1:22">
      <c r="A83" t="s">
        <v>680</v>
      </c>
      <c r="C83" t="s">
        <v>681</v>
      </c>
      <c r="Q83" t="s">
        <v>546</v>
      </c>
      <c r="R83" t="s">
        <v>639</v>
      </c>
      <c r="U83" t="s">
        <v>564</v>
      </c>
      <c r="V83" t="s">
        <v>27</v>
      </c>
    </row>
    <row r="84" spans="1:22">
      <c r="A84" t="s">
        <v>682</v>
      </c>
      <c r="C84" t="s">
        <v>683</v>
      </c>
      <c r="Q84" t="s">
        <v>20</v>
      </c>
      <c r="R84" t="s">
        <v>684</v>
      </c>
      <c r="U84" t="s">
        <v>26</v>
      </c>
      <c r="V84" t="s">
        <v>362</v>
      </c>
    </row>
    <row r="85" spans="1:22">
      <c r="A85" t="s">
        <v>685</v>
      </c>
      <c r="C85" t="s">
        <v>686</v>
      </c>
      <c r="Q85" t="s">
        <v>556</v>
      </c>
      <c r="R85" t="s">
        <v>557</v>
      </c>
      <c r="U85" t="s">
        <v>591</v>
      </c>
      <c r="V85" t="s">
        <v>27</v>
      </c>
    </row>
    <row r="86" spans="1:22">
      <c r="A86" t="s">
        <v>687</v>
      </c>
      <c r="C86" t="s">
        <v>688</v>
      </c>
      <c r="Q86" t="s">
        <v>546</v>
      </c>
      <c r="R86" t="s">
        <v>639</v>
      </c>
      <c r="U86" t="s">
        <v>454</v>
      </c>
      <c r="V86" t="s">
        <v>362</v>
      </c>
    </row>
    <row r="87" spans="1:22">
      <c r="A87" t="s">
        <v>689</v>
      </c>
      <c r="C87" t="s">
        <v>690</v>
      </c>
      <c r="Q87" t="s">
        <v>662</v>
      </c>
      <c r="R87" t="s">
        <v>691</v>
      </c>
      <c r="U87" t="s">
        <v>564</v>
      </c>
      <c r="V87" t="s">
        <v>577</v>
      </c>
    </row>
    <row r="88" spans="1:22">
      <c r="A88" t="s">
        <v>692</v>
      </c>
      <c r="C88" t="s">
        <v>693</v>
      </c>
      <c r="Q88" t="s">
        <v>448</v>
      </c>
      <c r="R88" t="s">
        <v>448</v>
      </c>
      <c r="U88" t="s">
        <v>548</v>
      </c>
      <c r="V88" t="s">
        <v>362</v>
      </c>
    </row>
    <row r="89" spans="1:22">
      <c r="A89" t="s">
        <v>694</v>
      </c>
      <c r="C89" t="s">
        <v>695</v>
      </c>
      <c r="Q89" t="s">
        <v>556</v>
      </c>
      <c r="R89" t="s">
        <v>557</v>
      </c>
      <c r="U89" t="s">
        <v>454</v>
      </c>
      <c r="V89" t="s">
        <v>362</v>
      </c>
    </row>
    <row r="90" spans="1:22">
      <c r="A90" t="s">
        <v>696</v>
      </c>
      <c r="C90" t="s">
        <v>697</v>
      </c>
      <c r="Q90" t="s">
        <v>556</v>
      </c>
      <c r="R90" t="s">
        <v>557</v>
      </c>
      <c r="U90" t="s">
        <v>591</v>
      </c>
      <c r="V90" t="s">
        <v>27</v>
      </c>
    </row>
    <row r="91" spans="1:22">
      <c r="A91" t="s">
        <v>698</v>
      </c>
      <c r="C91" t="s">
        <v>699</v>
      </c>
      <c r="Q91" t="s">
        <v>546</v>
      </c>
      <c r="R91" t="s">
        <v>639</v>
      </c>
      <c r="U91" t="s">
        <v>591</v>
      </c>
      <c r="V91" t="s">
        <v>27</v>
      </c>
    </row>
    <row r="92" spans="1:22">
      <c r="A92" t="s">
        <v>700</v>
      </c>
      <c r="C92" t="s">
        <v>701</v>
      </c>
      <c r="Q92" t="s">
        <v>20</v>
      </c>
      <c r="R92" t="s">
        <v>551</v>
      </c>
      <c r="U92" t="s">
        <v>591</v>
      </c>
      <c r="V92" t="s">
        <v>362</v>
      </c>
    </row>
    <row r="93" spans="1:22">
      <c r="A93" t="s">
        <v>702</v>
      </c>
      <c r="C93" t="s">
        <v>703</v>
      </c>
      <c r="Q93" t="s">
        <v>556</v>
      </c>
      <c r="R93" t="s">
        <v>557</v>
      </c>
      <c r="U93" t="s">
        <v>26</v>
      </c>
      <c r="V93" t="s">
        <v>27</v>
      </c>
    </row>
    <row r="94" spans="1:22">
      <c r="A94" t="s">
        <v>704</v>
      </c>
      <c r="C94" t="s">
        <v>705</v>
      </c>
      <c r="Q94" t="s">
        <v>546</v>
      </c>
      <c r="R94" t="s">
        <v>639</v>
      </c>
      <c r="U94" t="s">
        <v>564</v>
      </c>
      <c r="V94" t="s">
        <v>362</v>
      </c>
    </row>
    <row r="95" spans="1:22">
      <c r="A95" t="s">
        <v>706</v>
      </c>
      <c r="C95" t="s">
        <v>707</v>
      </c>
      <c r="Q95" t="s">
        <v>662</v>
      </c>
      <c r="R95" t="s">
        <v>708</v>
      </c>
      <c r="U95" t="s">
        <v>591</v>
      </c>
      <c r="V95" t="s">
        <v>362</v>
      </c>
    </row>
    <row r="96" spans="1:22">
      <c r="A96" t="s">
        <v>709</v>
      </c>
      <c r="C96" t="s">
        <v>710</v>
      </c>
      <c r="Q96" t="s">
        <v>556</v>
      </c>
      <c r="R96" t="s">
        <v>557</v>
      </c>
      <c r="U96" t="s">
        <v>591</v>
      </c>
      <c r="V96" t="s">
        <v>362</v>
      </c>
    </row>
    <row r="97" spans="1:22">
      <c r="A97" t="s">
        <v>711</v>
      </c>
      <c r="C97" t="s">
        <v>712</v>
      </c>
      <c r="Q97" t="s">
        <v>448</v>
      </c>
      <c r="R97" t="s">
        <v>584</v>
      </c>
      <c r="U97" t="s">
        <v>454</v>
      </c>
      <c r="V97" t="s">
        <v>362</v>
      </c>
    </row>
    <row r="98" spans="1:22">
      <c r="A98" t="s">
        <v>713</v>
      </c>
      <c r="C98" t="s">
        <v>714</v>
      </c>
      <c r="Q98" t="s">
        <v>556</v>
      </c>
      <c r="R98" t="s">
        <v>557</v>
      </c>
      <c r="U98" t="s">
        <v>591</v>
      </c>
      <c r="V98" t="s">
        <v>27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Sheet0</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糖糖ღ纤尘</cp:lastModifiedBy>
  <dcterms:created xsi:type="dcterms:W3CDTF">2026-08-14T11:33:00Z</dcterms:created>
  <dcterms:modified xsi:type="dcterms:W3CDTF">2026-08-30T14:37:28Z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5105A8B5298148B58CB3E7C1CC28E42D_12</vt:lpwstr>
  </property>
  <property fmtid="{D5CDD505-2E9C-101B-9397-08002B2CF9AE}" pid="3" name="KSOProductBuildVer">
    <vt:lpwstr>2052-12.1.0.28043</vt:lpwstr>
  </property>
  <property fmtid="{D5CDD505-2E9C-101B-9397-08002B2CF9AE}" pid="4" name="CalculationRule">
    <vt:i4>0</vt:i4>
  </property>
</Properties>
</file>