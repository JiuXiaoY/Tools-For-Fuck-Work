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G:\jetbrains_projects\pycharmProjects\Tools-For-Fuck-Work\antelope\xlsm\"/>
    </mc:Choice>
  </mc:AlternateContent>
  <bookViews>
    <workbookView windowWidth="27945" windowHeight="12255"/>
  </bookViews>
  <sheets>
    <sheet name="Sheet0" sheetId="1" r:id="rId1"/>
    <sheet name="Sheet1" sheetId="2" r:id="rId2"/>
  </sheets>
  <definedNames>
    <definedName name="_xlnm._FilterDatabase" localSheetId="0" hidden="1">Sheet0!$A$1:$F$26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<sst xmlns="http://schemas.openxmlformats.org/spreadsheetml/2006/main" count="1610" uniqueCount="503">
  <si>
    <t>AJN240624008</t>
  </si>
  <si>
    <t>yY95YIbfzhahf9xT</t>
  </si>
  <si>
    <t>Cardigan Homme Capuche Lin Manches Longues Ample Cintré</t>
  </si>
  <si>
    <t>Coton Fin Respirant Anti-UV Cordon de Serrage Demi-Ouverture Ourlet Courbe Vacances Décontracté Cardigan Essentiel</t>
  </si>
  <si>
    <t>男款宽松连帽长袖纯色亚麻衬衫 抽绳兜帽弧形下摆开襟纽扣卷袖设计 轻薄透气防晒度假休闲上衣开衫外套</t>
  </si>
  <si>
    <t>Black,Grey,White,Sky Blue,Beige</t>
  </si>
  <si>
    <t xml:space="preserve">028 普货 25%CP：24.62 EUR  1026 450克以内 24%CP：25.07 USD  1026 450克以内 30%CP：28.93 USD  1026 450克以内25%CP：25.64 USD  1026_450克以内_20CP：23.03 USD  1026_450克以内_26CP：26.24 USD  969_普货_30CP：28.45 GBP  989  26%CP：49.03 EUR  989 普货 24%CP：28.9 USD  A1-US-048-30%CP：27.96 USD  A1美国280-28%CP：32.42 USD  BALP-德国建议价：59.43 EUR  D-FR-806-30%CP：48.38 EUR  DE-1121-26%CP：30.03 EUR  DE-612A-35%CP：70.14 EUR  E-ES-028-30%CP：51.9 EUR  F-IT-806-30%CP：53.92 EUR  GATLB英国 989 普货  26%CP：27.41 GBP  GATLD意大利-1154-23%CP：43.3 EUR  GATLD意大利-1154CP：43.3 EUR  GATLD法国-1154-15%CP：33.4 EUR  GATLD法国-1154-23%CP：40.17 EUR  GATLD法国-1154CP：40.17 EUR  GATLE西班牙EUB-28%CP：48.73 EUR  GATLH加拿大EUBCP：70.51 CAD  US-415-30%CP：30.55 USD  中东站价格CP：248.28 AED  德国1158-26%CP：38.3 EUR  极兔德国专线1156-23%CP：30.78 EUR  亚马逊：18.57 USD  亚马逊：13.3 GBP  亚马逊：26.89 CAD  亚马逊：23.12 AUD  亚马逊：26.43 EUR  亚马逊：23.42 EUR  亚马逊：2316.3 JPY  亚马逊：24.75 EUR  亚马逊：28.68 EUR  亚马逊：27.52 EUR  亚马逊：292.73 MXN  </t>
  </si>
  <si>
    <t>208.47</t>
  </si>
  <si>
    <t>https://cy7q82dwrt4ysj2s.imgsapp.com/afsd/1960/5691054201246711828281.jpg</t>
  </si>
  <si>
    <t>https://erbxwbq605k7sja6.imgsapp.com/afsd/1960/7971052434045211842129.jpg</t>
  </si>
  <si>
    <t>https://iaxx55xdf4zoetth.imgsapp.com/afsd/1960/3691054188336714090235.jpg</t>
  </si>
  <si>
    <t>https://a3941vcdfirde18u.imgsapp.com/afsd/1960/4854105418944673087326.jpg</t>
  </si>
  <si>
    <t>https://q3nhileae0a817nm.imgsapp.com/afsd/1960/6481054190356714085940.jpg</t>
  </si>
  <si>
    <t>https://at561qehppsp9zq8.imgsapp.com/afsd/1960/5671054191406716469816.jpg</t>
  </si>
  <si>
    <t>https://zf7430lm2mb4cn6n.imgsapp.com/afsd/1960/0111054192896752202832.jpg</t>
  </si>
  <si>
    <t>https://9v15byvh5yzgl9zc.imgsapp.com/afsd/1960/2291054193926717453886.jpg</t>
  </si>
  <si>
    <t>https://pluut9ypnayx2ax5.imgsapp.com/afsd/1960/4911054194506711564868.jpg</t>
  </si>
  <si>
    <t>上架</t>
  </si>
  <si>
    <t>1pc衬衫</t>
  </si>
  <si>
    <t>Sans col</t>
  </si>
  <si>
    <t>Décontracté</t>
  </si>
  <si>
    <t>Minimaliste</t>
  </si>
  <si>
    <t>Chemise</t>
  </si>
  <si>
    <t>Surdimensionnée</t>
  </si>
  <si>
    <t>Plaine</t>
  </si>
  <si>
    <t>À capuche</t>
  </si>
  <si>
    <t>Manches longues</t>
  </si>
  <si>
    <t>Manchette</t>
  </si>
  <si>
    <t>Bouton</t>
  </si>
  <si>
    <t>Tissu respirant : profitez d’un confort optimal au quotidien, car nos chemises pour homme sont confectionnées dans un tissu de qualité supérieure, très respirant, qui vous garantit un confort optimal.</t>
  </si>
  <si>
    <t>Design classique et tendance : cette chemise intemporelle, au style très tendance, allie élégance et charme décontracté, ce qui la rend idéale pour toutes les occasions décontractées.</t>
  </si>
  <si>
    <t>Polyvalente et adaptée à toutes les occasions : que ce soit pour aller à la plage, participer à un barbecue estival ou simplement vous détendre chez vous, cette chemise en lin à manches longues pour homme est le choix idéal pour créer un look décontracté.</t>
  </si>
  <si>
    <t>Facile à assortir : associez cette chemise unie classique à un short, un pantalon kaki ou un jean pour créer un look raffiné sans effort, qui s'adapte aussi bien à la journée qu'à la soirée.</t>
  </si>
  <si>
    <t>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t>
  </si>
  <si>
    <t>AJN240624008BGL</t>
  </si>
  <si>
    <t>os5aCIbfzhahyhlU</t>
  </si>
  <si>
    <t>春夏新款男款宽松时尚防晒连帽长袖纯色亚麻衬衫 米色 L</t>
  </si>
  <si>
    <t>Beige</t>
  </si>
  <si>
    <t>Grand (l)</t>
  </si>
  <si>
    <t xml:space="preserve">028 普货 25%CP：25.38 EUR  1026 450克以内 24%CP：25.93 USD  1026 450克以内 30%CP：29.92 USD  1026 450克以内25%CP：26.52 USD  1026_450克以内_20CP：23.81 USD  1026_450克以内_26CP：27.14 USD  969_普货_30CP：29.22 GBP  989  26%CP：49.89 EUR  989 普货 24%CP：29.85 USD  A1-US-048-30%CP：28.86 USD  A1美国280-28%CP：33.75 USD  BALP-德国建议价：60.35 EUR  D-FR-806-30%CP：49.34 EUR  DE-1121-26%CP：31.17 EUR  DE-612A-35%CP：72.86 EUR  E-ES-028-30%CP：53.24 EUR  F-IT-806-30%CP：54.94 EUR  GATLB英国 989 普货  26%CP：28.11 GBP  GATLD意大利-1154-23%CP：44.06 EUR  GATLD意大利-1154CP：44.06 EUR  GATLD法国-1154-15%CP：34.12 EUR  GATLD法国-1154-23%CP：41.03 EUR  GATLD法国-1154CP：41.03 EUR  GATLE西班牙EUB-28%CP：49.99 EUR  GATLH加拿大EUBCP：73.38 CAD  US-415-30%CP：31.69 USD  中东站价格CP：249.97 AED  德国1158-26%CP：38.97 EUR  极兔德国专线1156-23%CP：31.57 EUR  亚马逊：18.96 USD  亚马逊：13.55 GBP  亚马逊：27.31 CAD  亚马逊：23.51 AUD  亚马逊：26.84 EUR  亚马逊：23.58 EUR  亚马逊：2336.96 JPY  亚马逊：24.94 EUR  亚马逊：29.06 EUR  亚马逊：27.89 EUR  亚马逊：298.05 MXN  </t>
  </si>
  <si>
    <t>228</t>
  </si>
  <si>
    <t>https://sinq26r95nwc6ljl.imgsapp.com/afsd/1960/9981054033416710415208.jpg</t>
  </si>
  <si>
    <t>https://ouctik7t85ii24x1.imgsapp.com/afsd/1960/1471054035616718801687.jpg</t>
  </si>
  <si>
    <t>https://8j6zazzo1wgb8cra.imgsapp.com/afsd/1960/3131052434045211842129.jpg</t>
  </si>
  <si>
    <t>https://rnzyzrl0xm3w8jj8.imgsapp.com/afsd/1960/2121054034736710741574.jpg</t>
  </si>
  <si>
    <t/>
  </si>
  <si>
    <t>AJN240624008BGL2</t>
  </si>
  <si>
    <t>37KHH5bfzhahSxel</t>
  </si>
  <si>
    <t>春夏新款男款宽松时尚防晒连帽长袖纯色亚麻衬衫 米色 XXL</t>
  </si>
  <si>
    <t>TTG (xx_l)</t>
  </si>
  <si>
    <t xml:space="preserve">028 普货 25%CP：25.45 EUR  1026 450克以内 24%CP：26.01 USD  1026 450克以内 30%CP：30.01 USD  1026 450克以内25%CP：26.6 USD  1026_450克以内_20CP：23.89 USD  1026_450克以内_26CP：27.22 USD  969_普货_30CP：29.28 GBP  989  26%CP：49.94 EUR  989 普货 24%CP：29.94 USD  A1-US-048-30%CP：28.94 USD  A1美国280-28%CP：33.9 USD  BALP-德国建议价：60.42 EUR  D-FR-806-30%CP：49.41 EUR  DE-1121-26%CP：31.28 EUR  DE-612A-35%CP：73.19 EUR  E-ES-028-30%CP：53.37 EUR  F-IT-806-30%CP：55.02 EUR  GATLB英国 989 普货  26%CP：28.15 GBP  GATLD意大利-1154-23%CP：44.11 EUR  GATLD意大利-1154CP：44.11 EUR  GATLD法国-1154-15%CP：34.18 EUR  GATLD法国-1154-23%CP：41.1 EUR  GATLD法国-1154CP：41.1 EUR  GATLE西班牙EUB-28%CP：50.11 EUR  GATLH加拿大EUBCP：73.71 CAD  US-415-30%CP：31.81 USD  中东站价格CP：249.97 AED  德国1158-26%CP：39.0 EUR  极兔德国专线1156-23%CP：31.62 EUR  亚马逊：19.02 USD  亚马逊：13.58 GBP  亚马逊：27.37 CAD  亚马逊：23.57 AUD  亚马逊：26.91 EUR  亚马逊：23.6 EUR  亚马逊：2340.22 JPY  亚马逊：24.97 EUR  亚马逊：29.11 EUR  亚马逊：27.95 EUR  亚马逊：298.87 MXN  </t>
  </si>
  <si>
    <t>231</t>
  </si>
  <si>
    <t>https://3hzm7ggvigj7hr62.imgsapp.com/afsd/1960/9981054033416710415208.jpg</t>
  </si>
  <si>
    <t>https://etx2c6sp31nmjytn.imgsapp.com/afsd/1960/1471054035616718801687.jpg</t>
  </si>
  <si>
    <t>https://kcjdepwyxxi2td0k.imgsapp.com/afsd/1960/3131052434045211842129.jpg</t>
  </si>
  <si>
    <t>https://ouyexh3bxku9o0k0.imgsapp.com/afsd/1960/2121054034736710741574.jpg</t>
  </si>
  <si>
    <t>AJN240624008BGL3</t>
  </si>
  <si>
    <t>wUqMzIbfzhahoFW0</t>
  </si>
  <si>
    <t>春夏新款男款宽松时尚防晒连帽长袖纯色亚麻衬衫 米色 XXXL</t>
  </si>
  <si>
    <t>3TG</t>
  </si>
  <si>
    <t xml:space="preserve">028 普货 25%CP：25.17 EUR  1026 450克以内 24%CP：25.7 USD  1026 450克以内 30%CP：29.65 USD  1026 450克以内25%CP：26.28 USD  1026_450克以内_20CP：23.6 USD  1026_450克以内_26CP：26.9 USD  969_普货_30CP：28.86 GBP  989  26%CP：49.42 EUR  989 普货 24%CP：29.6 USD  A1-US-048-30%CP：28.57 USD  A1美国280-28%CP：33.58 USD  BALP-德国建议价：60.04 EUR  D-FR-806-30%CP：48.92 EUR  DE-1121-26%CP：30.85 EUR  DE-612A-35%CP：72.69 EUR  E-ES-028-30%CP：52.86 EUR  F-IT-806-30%CP：54.5 EUR  GATLB英国 989 普货  26%CP：27.75 GBP  GATLD意大利-1154-23%CP：43.69 EUR  GATLD意大利-1154CP：43.69 EUR  GATLD法国-1154-15%CP：33.85 EUR  GATLD法国-1154-23%CP：40.71 EUR  GATLD法国-1154CP：40.71 EUR  GATLE西班牙EUB-28%CP：49.64 EUR  GATLH加拿大EUBCP：73.02 CAD  US-415-30%CP：31.46 USD  中东站价格CP：248.28 AED  德国1158-26%CP：38.61 EUR  极兔德国专线1156-23%CP：31.22 EUR  亚马逊：19.04 USD  亚马逊：13.59 GBP  亚马逊：27.39 CAD  亚马逊：23.59 AUD  亚马逊：26.93 EUR  亚马逊：23.6 EUR  亚马逊：2341.3 JPY  亚马逊：24.98 EUR  亚马逊：29.13 EUR  亚马逊：27.96 EUR  亚马逊：299.14 MXN  </t>
  </si>
  <si>
    <t>232</t>
  </si>
  <si>
    <t>https://9n31perc91en7w3e.imgsapp.com/afsd/1960/9981054033416710415208.jpg</t>
  </si>
  <si>
    <t>https://ka5rwiy39xtjzdsy.imgsapp.com/afsd/1960/1471054035616718801687.jpg</t>
  </si>
  <si>
    <t>https://miz23zkjf8pjz3fq.imgsapp.com/afsd/1960/3131052434045211842129.jpg</t>
  </si>
  <si>
    <t>https://yt3pxhuy2lybvlqr.imgsapp.com/afsd/1960/2121054034736710741574.jpg</t>
  </si>
  <si>
    <t>AJN240624008BGL4</t>
  </si>
  <si>
    <t>HAowJQbfzhahf8dq</t>
  </si>
  <si>
    <t>春夏新款男款宽松时尚防晒连帽长袖纯色亚麻衬衫 米色 XXXXL</t>
  </si>
  <si>
    <t>4TG</t>
  </si>
  <si>
    <t xml:space="preserve">028 普货 25%CP：25.66 EUR  1026 450克以内 24%CP：26.25 USD  1026 450克以内 30%CP：30.29 USD  1026 450克以内25%CP：26.85 USD  1026_450克以内_20CP：24.11 USD  1026_450克以内_26CP：27.47 USD  969_普货_30CP：29.43 GBP  989  26%CP：50.09 EUR  989 普货 24%CP：30.21 USD  A1-US-048-30%CP：29.17 USD  A1美国280-28%CP：34.34 USD  BALP-德国建议价：60.66 EUR  D-FR-806-30%CP：49.62 EUR  DE-1121-26%CP：31.59 EUR  DE-612A-35%CP：74.16 EUR  E-ES-028-30%CP：53.74 EUR  F-IT-806-30%CP：55.24 EUR  GATLB英国 989 普货  26%CP：28.28 GBP  GATLD意大利-1154-23%CP：44.26 EUR  GATLD意大利-1154CP：44.26 EUR  GATLD法国-1154-15%CP：34.35 EUR  GATLD法国-1154-23%CP：41.31 EUR  GATLD法国-1154CP：41.31 EUR  GATLE西班牙EUB-28%CP：50.46 EUR  GATLH加拿大EUBCP：74.67 CAD  US-415-30%CP：32.15 USD  中东站价格CP：249.97 AED  德国1158-26%CP：39.12 EUR  极兔德国专线1156-23%CP：31.79 EUR  亚马逊：19.2 USD  亚马逊：13.68 GBP  亚马逊：27.57 CAD  亚马逊：23.73 AUD  亚马逊：27.1 EUR  亚马逊：23.67 EUR  亚马逊：2349.64 JPY  亚马逊：25.07 EUR  亚马逊：29.28 EUR  亚马逊：28.11 EUR  亚马逊：301.32 MXN  </t>
  </si>
  <si>
    <t>240</t>
  </si>
  <si>
    <t>https://0j55bzuo4hwm4za4.imgsapp.com/afsd/1960/9981054033416710415208.jpg</t>
  </si>
  <si>
    <t>https://l950u9e336i5nc9y.imgsapp.com/afsd/1960/1471054035616718801687.jpg</t>
  </si>
  <si>
    <t>https://gh1u8o1ro1bygoeq.imgsapp.com/afsd/1960/3131052434045211842129.jpg</t>
  </si>
  <si>
    <t>https://yb9xii6i9jdlsgc1.imgsapp.com/afsd/1960/2121054034736710741574.jpg</t>
  </si>
  <si>
    <t>AJN240624008BGM</t>
  </si>
  <si>
    <t>4TpjdvbfzhahW3B5</t>
  </si>
  <si>
    <t>春夏新款男款宽松时尚防晒连帽长袖纯色亚麻衬衫 米色 M</t>
  </si>
  <si>
    <t>M (m)</t>
  </si>
  <si>
    <t xml:space="preserve">028 普货 25%CP：25.22 EUR  1026 450克以内 24%CP：25.74 USD  1026 450克以内 30%CP：29.7 USD  1026 450克以内25%CP：26.33 USD  1026_450克以内_20CP：23.64 USD  1026_450克以内_26CP：26.94 USD  969_普货_30CP：29.1 GBP  989  26%CP：49.78 EUR  989 普货 24%CP：29.64 USD  A1-US-048-30%CP：28.68 USD  A1美国280-28%CP：33.4 USD  BALP-德国建议价：60.16 EUR  D-FR-806-30%CP：49.18 EUR  DE-1121-26%CP：30.93 EUR  DE-612A-35%CP：72.1 EUR  E-ES-028-30%CP：52.96 EUR  F-IT-806-30%CP：54.77 EUR  GATLB英国 989 普货  26%CP：28.01 GBP  GATLD意大利-1154-23%CP：43.95 EUR  GATLD意大利-1154CP：43.95 EUR  GATLD法国-1154-15%CP：33.99 EUR  GATLD法国-1154-23%CP：40.87 EUR  GATLD法国-1154CP：40.87 EUR  GATLE西班牙EUB-28%CP：49.72 EUR  GATLH加拿大EUBCP：72.64 CAD  US-415-30%CP：31.42 USD  中东站价格CP：249.97 AED  德国1158-26%CP：38.87 EUR  极兔德国专线1156-23%CP：31.44 EUR  亚马逊：18.82 USD  亚马逊：13.45 GBP  亚马逊：27.16 CAD  亚马逊：23.35 AUD  亚马逊：26.69 EUR  亚马逊：23.52 EUR  亚马逊：2329.71 JPY  亚马逊：24.87 EUR  亚马逊：28.92 EUR  亚马逊：27.76 EUR  亚马逊：296.15 MXN  </t>
  </si>
  <si>
    <t>221</t>
  </si>
  <si>
    <t>https://a8wx78fs1rnyrz0q.imgsapp.com/afsd/1960/9981054033416710415208.jpg</t>
  </si>
  <si>
    <t>https://7m8narzvl17q92d6.imgsapp.com/afsd/1960/1471054035616718801687.jpg</t>
  </si>
  <si>
    <t>https://u1kc7q8vtcqk3uy0.imgsapp.com/afsd/1960/3131052434045211842129.jpg</t>
  </si>
  <si>
    <t>https://i1fy5fbtlmw4uo3e.imgsapp.com/afsd/1960/2121054034736710741574.jpg</t>
  </si>
  <si>
    <t>AJN240624008BGXL</t>
  </si>
  <si>
    <t>8Es968bfzhahwQFs</t>
  </si>
  <si>
    <t>春夏新款男款宽松时尚防晒连帽长袖纯色亚麻衬衫 米色 XL</t>
  </si>
  <si>
    <t>TG</t>
  </si>
  <si>
    <t xml:space="preserve">028 普货 25%CP：25.12 EUR  1026 450克以内 24%CP：25.65 USD  1026 450克以内 30%CP：29.59 USD  1026 450克以内25%CP：26.23 USD  1026_450克以内_20CP：23.55 USD  1026_450克以内_26CP：26.84 USD  969_普货_30CP：28.82 GBP  989  26%CP：49.38 EUR  989 普货 24%CP：29.54 USD  A1-US-048-30%CP：28.52 USD  A1美国280-28%CP：33.48 USD  BALP-德国建议价：59.99 EUR  D-FR-806-30%CP：48.88 EUR  DE-1121-26%CP：30.79 EUR  DE-612A-35%CP：72.47 EUR  E-ES-028-30%CP：52.78 EUR  F-IT-806-30%CP：54.46 EUR  GATLB英国 989 普货  26%CP：27.72 GBP  GATLD意大利-1154-23%CP：43.66 EUR  GATLD意大利-1154CP：43.66 EUR  GATLD法国-1154-15%CP：33.81 EUR  GATLD法国-1154-23%CP：40.66 EUR  GATLD法国-1154CP：40.66 EUR  GATLE西班牙EUB-28%CP：49.56 EUR  GATLH加拿大EUBCP：72.81 CAD  US-415-30%CP：31.38 USD  中东站价格CP：248.28 AED  德国1158-26%CP：38.58 EUR  极兔德国专线1156-23%CP：31.19 EUR  亚马逊：19.0 USD  亚马逊：13.57 GBP  亚马逊：27.35 CAD  亚马逊：23.55 AUD  亚马逊：26.89 EUR  亚马逊：23.59 EUR  亚马逊：2339.13 JPY  亚马逊：24.96 EUR  亚马逊：29.09 EUR  亚马逊：27.93 EUR  亚马逊：298.6 MXN  </t>
  </si>
  <si>
    <t>230</t>
  </si>
  <si>
    <t>https://kokuvj4wul8mpd1h.imgsapp.com/afsd/1960/9981054033416710415208.jpg</t>
  </si>
  <si>
    <t>https://rw8ox7x8bik09xoc.imgsapp.com/afsd/1960/1471054035616718801687.jpg</t>
  </si>
  <si>
    <t>https://opwsc62whj0uc0q4.imgsapp.com/afsd/1960/3131052434045211842129.jpg</t>
  </si>
  <si>
    <t>https://zgtusm8fwvwxvi5n.imgsapp.com/afsd/1960/2121054034736710741574.jpg</t>
  </si>
  <si>
    <t>AJN240624008BKL</t>
  </si>
  <si>
    <t>jKROdebfzhahfWZv</t>
  </si>
  <si>
    <t>春夏新款男款宽松时尚防晒连帽长袖纯色亚麻衬衫 黑色 L</t>
  </si>
  <si>
    <t>Black</t>
  </si>
  <si>
    <t>Noir</t>
  </si>
  <si>
    <t xml:space="preserve">028 普货 25%CP：24.77 EUR  1026 450克以内 24%CP：25.24 USD  1026 450克以内 30%CP：29.12 USD  1026 450克以内25%CP：25.81 USD  1026_450克以内_20CP：23.18 USD  1026_450克以内_26CP：26.41 USD  969_普货_30CP：28.77 GBP  989  26%CP：49.47 EUR  989 普货 24%CP：29.07 USD  A1-US-048-30%CP：28.18 USD  A1美国280-28%CP：32.47 USD  BALP-德国建议价：59.66 EUR  D-FR-806-30%CP：48.73 EUR  DE-1121-26%CP：30.26 EUR  DE-612A-35%CP：70.05 EUR  E-ES-028-30%CP：52.17 EUR  F-IT-806-30%CP：54.28 EUR  GATLB英国 989 普货  26%CP：27.73 GBP  GATLD意大利-1154-23%CP：43.63 EUR  GATLD意大利-1154CP：43.63 EUR  GATLD法国-1154-15%CP：33.63 EUR  GATLD法国-1154-23%CP：40.44 EUR  GATLD法国-1154CP：40.44 EUR  GATLE西班牙EUB-28%CP：48.99 EUR  GATLH加拿大EUBCP：70.61 CAD  US-415-30%CP：30.69 USD  中东站价格CP：249.97 AED  德国1158-26%CP：38.62 EUR  极兔德国专线1156-23%CP：31.08 EUR  亚马逊：18.44 USD  亚马逊：13.23 GBP  亚马逊：26.75 CAD  亚马逊：23.0 AUD  亚马逊：26.29 EUR  亚马逊：23.37 EUR  亚马逊：2309.78 JPY  亚马逊：24.68 EUR  亚马逊：28.56 EUR  亚马逊：27.4 EUR  亚马逊：290.98 MXN  </t>
  </si>
  <si>
    <t>202</t>
  </si>
  <si>
    <t>https://b3p8e1rqcfh0qn4u.imgsapp.com/afsd/1960/4081053172886685610222.jpg</t>
  </si>
  <si>
    <t>https://toigbimjptpdnix5.imgsapp.com/afsd/1960/5491053175066618959618.jpg</t>
  </si>
  <si>
    <t>https://afg0jng0nuxdbjqn.imgsapp.com/afsd/1960/1601052434045211842129.jpg</t>
  </si>
  <si>
    <t>https://11nhiux5phc5ribq.imgsapp.com/afsd/1960/3061053173816672013771.jpg</t>
  </si>
  <si>
    <t>AJN240624008BKL2</t>
  </si>
  <si>
    <t>ak7ozlbfzhahyJ4i</t>
  </si>
  <si>
    <t>春夏新款男款宽松时尚防晒连帽长袖纯色亚麻衬衫 黑色 XXL</t>
  </si>
  <si>
    <t xml:space="preserve">028 普货 25%CP：25.19 EUR  1026 450克以内 24%CP：25.72 USD  1026 450克以内 30%CP：29.67 USD  1026 450克以内25%CP：26.3 USD  1026_450克以内_20CP：23.62 USD  1026_450克以内_26CP：26.91 USD  969_普货_30CP：29.08 GBP  989  26%CP：49.76 EUR  989 普货 24%CP：29.61 USD  A1-US-048-30%CP：28.65 USD  A1美国280-28%CP：33.36 USD  BALP-德国建议价：60.14 EUR  D-FR-806-30%CP：49.15 EUR  DE-1121-26%CP：30.89 EUR  DE-612A-35%CP：71.99 EUR  E-ES-028-30%CP：52.91 EUR  F-IT-806-30%CP：54.74 EUR  GATLB英国 989 普货  26%CP：27.99 GBP  GATLD意大利-1154-23%CP：43.93 EUR  GATLD意大利-1154CP：43.93 EUR  GATLD法国-1154-15%CP：33.97 EUR  GATLD法国-1154-23%CP：40.85 EUR  GATLD法国-1154CP：40.85 EUR  GATLE西班牙EUB-28%CP：49.68 EUR  GATLH加拿大EUBCP：72.53 CAD  US-415-30%CP：31.38 USD  中东站价格CP：249.97 AED  德国1158-26%CP：38.86 EUR  极兔德国专线1156-23%CP：31.42 EUR  亚马逊：18.8 USD  亚马逊：13.44 GBP  亚马逊：27.14 CAD  亚马逊：23.33 AUD  亚马逊：26.67 EUR  亚马逊：23.51 EUR  亚马逊：2328.62 JPY  亚马逊：24.86 EUR  亚马逊：28.9 EUR  亚马逊：27.74 EUR  亚马逊：295.88 MXN  </t>
  </si>
  <si>
    <t>220</t>
  </si>
  <si>
    <t>https://xixbiewpofzuknwa.imgsapp.com/afsd/1960/4081053172886685610222.jpg</t>
  </si>
  <si>
    <t>https://tc8roauf6zs62xtv.imgsapp.com/afsd/1960/5491053175066618959618.jpg</t>
  </si>
  <si>
    <t>https://e7ln68735rd4hene.imgsapp.com/afsd/1960/1601052434045211842129.jpg</t>
  </si>
  <si>
    <t>https://lrlt5blq7htjqt4z.imgsapp.com/afsd/1960/3061053173816672013771.jpg</t>
  </si>
  <si>
    <t>AJN240624008BKL3</t>
  </si>
  <si>
    <t>5mTO2gbfzhahF2mU</t>
  </si>
  <si>
    <t>春夏新款男款宽松时尚防晒连帽长袖纯色亚麻衬衫 黑色 XXXL</t>
  </si>
  <si>
    <t xml:space="preserve">028 普货 25%CP：26.34 EUR  1026 450克以内 24%CP：27.02 USD  1026 450克以内 30%CP：31.18 USD  1026 450克以内25%CP：27.64 USD  1026_450克以内_20CP：24.82 USD  1026_450克以内_26CP：28.28 USD  969_普货_30CP：29.94 GBP  989  26%CP：50.56 EUR  989 普货 24%CP：31.08 USD  A1-US-048-30%CP：29.93 USD  A1美国280-28%CP：35.77 USD  BALP-德国建议价：61.42 EUR  D-FR-806-30%CP：50.29 EUR  DE-1121-26%CP：32.61 EUR  DE-612A-35%CP：77.31 EUR  E-ES-028-30%CP：54.93 EUR  F-IT-806-30%CP：55.97 EUR  GATLB英国 989 普货  26%CP：28.71 GBP  GATLD意大利-1154-23%CP：44.75 EUR  GATLD意大利-1154CP：44.75 EUR  GATLD法国-1154-15%CP：34.9 EUR  GATLD法国-1154-23%CP：41.97 EUR  GATLD法国-1154CP：41.97 EUR  GATLE西班牙EUB-28%CP：51.58 EUR  GATLH加拿大EUBCP：77.77 CAD  US-415-30%CP：33.27 USD  中东站价格CP：249.97 AED  德国1158-26%CP：39.5 EUR  极兔德国专线1156-23%CP：32.34 EUR  亚马逊：19.78 USD  亚马逊：14.04 GBP  亚马逊：28.19 CAD  亚马逊：24.31 AUD  亚马逊：27.72 EUR  亚马逊：23.89 EUR  亚马逊：2380.07 JPY  亚马逊：25.16 EUR  亚马逊：29.84 EUR  亚马逊：28.66 EUR  亚马逊：309.26 MXN  </t>
  </si>
  <si>
    <t>269.1</t>
  </si>
  <si>
    <t>https://xbww4ivc6xbmimtx.imgsapp.com/afsd/1960/4081053172886685610222.jpg</t>
  </si>
  <si>
    <t>https://1w4ujeypp8vhg4cy.imgsapp.com/afsd/1960/5491053175066618959618.jpg</t>
  </si>
  <si>
    <t>https://cocfhn1u039yg1mq.imgsapp.com/afsd/1960/1601052434045211842129.jpg</t>
  </si>
  <si>
    <t>https://py407lxq6hi3ge7h.imgsapp.com/afsd/1960/3061053173816672013771.jpg</t>
  </si>
  <si>
    <t>AJN240624008BKL4</t>
  </si>
  <si>
    <t>6Zsfu2bfzhahdQcX</t>
  </si>
  <si>
    <t>春夏新款男款宽松时尚防晒连帽长袖纯色亚麻衬衫 黑色 XXXXL</t>
  </si>
  <si>
    <t xml:space="preserve">028 普货 25%CP：24.84 EUR  1026 450克以内 24%CP：25.33 USD  1026 450克以内 30%CP：29.22 USD  1026 450克以内25%CP：25.9 USD  1026_450克以内_20CP：23.26 USD  1026_450克以内_26CP：26.5 USD  969_普货_30CP：28.61 GBP  989  26%CP：49.19 EUR  989 普货 24%CP：29.18 USD  A1-US-048-30%CP：28.21 USD  A1美国280-28%CP：32.89 USD  BALP-德国建议价：59.68 EUR  D-FR-806-30%CP：48.6 EUR  DE-1121-26%CP：30.37 EUR  DE-612A-35%CP：71.17 EUR  E-ES-028-30%CP：52.29 EUR  F-IT-806-30%CP：54.16 EUR  GATLB英国 989 普货  26%CP：27.54 GBP  GATLD意大利-1154-23%CP：43.46 EUR  GATLD意大利-1154CP：43.46 EUR  GATLD法国-1154-15%CP：33.58 EUR  GATLD法国-1154-23%CP：40.39 EUR  GATLD法国-1154CP：40.39 EUR  GATLE西班牙EUB-28%CP：49.1 EUR  GATLH加拿大EUBCP：71.53 CAD  US-415-30%CP：30.92 USD  中东站价格CP：248.28 AED  德国1158-26%CP：38.43 EUR  极兔德国专线1156-23%CP：30.96 EUR  亚马逊：18.76 USD  亚马逊：13.41 GBP  亚马逊：27.09 CAD  亚马逊：23.29 AUD  亚马逊：26.63 EUR  亚马逊：23.5 EUR  亚马逊：2326.45 JPY  亚马逊：24.84 EUR  亚马逊：28.86 EUR  亚马逊：27.7 EUR  亚马逊：295.33 MXN  </t>
  </si>
  <si>
    <t>218</t>
  </si>
  <si>
    <t>https://evz3hqk7oo8bo255.imgsapp.com/afsd/1960/4081053172886685610222.jpg</t>
  </si>
  <si>
    <t>https://lvgkrya1wjef4xoy.imgsapp.com/afsd/1960/5491053175066618959618.jpg</t>
  </si>
  <si>
    <t>https://4pr6sgskvgovjwah.imgsapp.com/afsd/1960/1601052434045211842129.jpg</t>
  </si>
  <si>
    <t>https://o0uv4oy6u7h151fo.imgsapp.com/afsd/1960/3061053173816672013771.jpg</t>
  </si>
  <si>
    <t>AJN240624008BKM</t>
  </si>
  <si>
    <t>EAXkBRbfzhahmTJ8</t>
  </si>
  <si>
    <t>春夏新款男款宽松时尚防晒连帽长袖纯色亚麻衬衫 黑色 M</t>
  </si>
  <si>
    <t xml:space="preserve">028 普货 25%CP：24.44 EUR  1026 450克以内 24%CP：24.88 USD  1026 450克以内 30%CP：28.7 USD  1026 450克以内25%CP：25.44 USD  1026_450克以内_20CP：22.84 USD  1026_450克以内_26CP：26.03 USD  969_普货_30CP：28.32 GBP  989  26%CP：48.91 EUR  989 普货 24%CP：28.67 USD  A1-US-048-30%CP：27.77 USD  A1美国280-28%CP：32.05 USD  BALP-德国建议价：59.23 EUR  D-FR-806-30%CP：48.2 EUR  DE-1121-26%CP：29.77 EUR  DE-612A-35%CP：69.33 EUR  E-ES-028-30%CP：51.59 EUR  F-IT-806-30%CP：53.73 EUR  GATLB英国 989 普货  26%CP：27.3 GBP  GATLD意大利-1154-23%CP：43.18 EUR  GATLD意大利-1154CP：43.18 EUR  GATLD法国-1154-15%CP：33.26 EUR  GATLD法国-1154-23%CP：39.99 EUR  GATLD法国-1154CP：39.99 EUR  GATLE西班牙EUB-28%CP：48.44 EUR  GATLH加拿大EUBCP：69.71 CAD  US-415-30%CP：30.26 USD  中东站价格CP：228.79 AED  德国1158-26%CP：38.2 EUR  极兔德国专线1156-23%CP：30.64 EUR  亚马逊：18.42 USD  亚马逊：13.21 GBP  亚马逊：26.73 CAD  亚马逊：22.96 AUD  亚马逊：26.26 EUR  亚马逊：23.37 EUR  亚马逊：2308.7 JPY  亚马逊：24.67 EUR  亚马逊：28.54 EUR  亚马逊：27.38 EUR  亚马逊：290.7 MXN  </t>
  </si>
  <si>
    <t>201</t>
  </si>
  <si>
    <t>https://936wffckkrxa15xo.imgsapp.com/afsd/1960/4081053172886685610222.jpg</t>
  </si>
  <si>
    <t>https://45l50cn53k2736hk.imgsapp.com/afsd/1960/5491053175066618959618.jpg</t>
  </si>
  <si>
    <t>https://9kedljiwpy6gec1i.imgsapp.com/afsd/1960/1601052434045211842129.jpg</t>
  </si>
  <si>
    <t>https://wqjo87ygvplno5mp.imgsapp.com/afsd/1960/3061053173816672013771.jpg</t>
  </si>
  <si>
    <t>AJN240624008BKXL</t>
  </si>
  <si>
    <t>Bp0aXLbfzhah0Rcw</t>
  </si>
  <si>
    <t>春夏新款男款宽松时尚防晒连帽长袖纯色亚麻衬衫 黑色 XL</t>
  </si>
  <si>
    <t xml:space="preserve">028 普货 25%CP：24.82 EUR  1026 450克以内 24%CP：25.29 USD  1026 450克以内 30%CP：29.18 USD  1026 450克以内25%CP：25.87 USD  1026_450克以内_20CP：23.23 USD  1026_450克以内_26CP：26.47 USD  969_普货_30CP：28.81 GBP  989  26%CP：49.5 EUR  989 普货 24%CP：29.13 USD  A1-US-048-30%CP：28.23 USD  A1美国280-28%CP：32.57 USD  BALP-德国建议价：59.72 EUR  D-FR-806-30%CP：48.78 EUR  DE-1121-26%CP：30.33 EUR  DE-612A-35%CP：70.26 EUR  E-ES-028-30%CP：52.25 EUR  F-IT-806-30%CP：54.34 EUR  GATLB英国 989 普货  26%CP：27.76 GBP  GATLD意大利-1154-23%CP：43.66 EUR  GATLD意大利-1154CP：43.66 EUR  GATLD法国-1154-15%CP：33.66 EUR  GATLD法国-1154-23%CP：40.48 EUR  GATLD法国-1154CP：40.48 EUR  GATLE西班牙EUB-28%CP：49.06 EUR  GATLH加拿大EUBCP：70.82 CAD  US-415-30%CP：30.77 USD  中东站价格CP：249.97 AED  德国1158-26%CP：38.65 EUR  极兔德国专线1156-23%CP：31.11 EUR  亚马逊：18.48 USD  亚马逊：13.24 GBP  亚马逊：26.79 CAD  亚马逊：23.02 AUD  亚马逊：26.33 EUR  亚马逊：23.39 EUR  亚马逊：2311.59 JPY  亚马逊：24.7 EUR  亚马逊：28.6 EUR  亚马逊：27.44 EUR  亚马逊：291.52 MXN  </t>
  </si>
  <si>
    <t>204</t>
  </si>
  <si>
    <t>https://fzxhlpe26ku41cve.imgsapp.com/afsd/1960/4081053172886685610222.jpg</t>
  </si>
  <si>
    <t>https://oshef4vvurx22q0v.imgsapp.com/afsd/1960/5491053175066618959618.jpg</t>
  </si>
  <si>
    <t>https://9nnlol5dhzcjv47a.imgsapp.com/afsd/1960/1601052434045211842129.jpg</t>
  </si>
  <si>
    <t>https://aj4voynpbjbe7ac9.imgsapp.com/afsd/1960/3061053173816672013771.jpg</t>
  </si>
  <si>
    <t>AJN240624008GYL</t>
  </si>
  <si>
    <t>YzK6JbbfzhahIqcl</t>
  </si>
  <si>
    <t>春夏新款男款宽松时尚防晒连帽长袖纯色亚麻衬衫 灰色 L</t>
  </si>
  <si>
    <t>Grey</t>
  </si>
  <si>
    <t>Gris</t>
  </si>
  <si>
    <t>https://60gur795vy20qjr3.imgsapp.com/afsd/1960/4501053325256637758290.jpg</t>
  </si>
  <si>
    <t>https://a6ti1l7v25xuwwx0.imgsapp.com/afsd/1960/4511053331596673835503.jpg</t>
  </si>
  <si>
    <t>https://ou26119lgd5zyn3t.imgsapp.com/afsd/1960/4831052434045211842129.jpg</t>
  </si>
  <si>
    <t>https://yb1v4cs18nln2q95.imgsapp.com/afsd/1960/0611053327766616680718.jpg</t>
  </si>
  <si>
    <t>https://tto5m87qurwimook.imgsapp.com/afsd/1960/4431053329996614641244.jpg</t>
  </si>
  <si>
    <t>https://m5csknvdu5e11n4o.imgsapp.com/afsd/1960/9911053328706616826699.jpg</t>
  </si>
  <si>
    <t>https://dmi2wrgcogr541of.imgsapp.com/afsd/1960/7171053330906617121880.jpg</t>
  </si>
  <si>
    <t>https://0bew6zaj7sfhppx7.imgsapp.com/afsd/1960/2481053326716620713015.jpg</t>
  </si>
  <si>
    <t>AJN240624008GYL2</t>
  </si>
  <si>
    <t>f6xd0gbfzhahEcRe</t>
  </si>
  <si>
    <t>春夏新款男款宽松时尚防晒连帽长袖纯色亚麻衬衫 灰色 XXL</t>
  </si>
  <si>
    <t xml:space="preserve">028 普货 25%CP：25.52 EUR  1026 450克以内 24%CP：26.09 USD  1026 450克以内 30%CP：30.1 USD  1026 450克以内25%CP：26.68 USD  1026_450克以内_20CP：23.96 USD  1026_450克以内_26CP：27.3 USD  969_普货_30CP：29.33 GBP  989  26%CP：49.99 EUR  989 普货 24%CP：30.03 USD  A1-US-048-30%CP：29.01 USD  A1美国280-28%CP：34.04 USD  BALP-德国建议价：60.51 EUR  D-FR-806-30%CP：49.47 EUR  DE-1121-26%CP：31.38 EUR  DE-612A-35%CP：73.51 EUR  E-ES-028-30%CP：53.49 EUR  F-IT-806-30%CP：55.09 EUR  GATLB英国 989 普货  26%CP：28.2 GBP  GATLD意大利-1154-23%CP：44.16 EUR  GATLD意大利-1154CP：44.16 EUR  GATLD法国-1154-15%CP：34.23 EUR  GATLD法国-1154-23%CP：41.17 EUR  GATLD法国-1154CP：41.17 EUR  GATLE西班牙EUB-28%CP：50.22 EUR  GATLH加拿大EUBCP：74.03 CAD  US-415-30%CP：31.92 USD  中东站价格CP：249.97 AED  德国1158-26%CP：39.04 EUR  极兔德国专线1156-23%CP：31.68 EUR  亚马逊：19.08 USD  亚马逊：13.62 GBP  亚马逊：27.44 CAD  亚马逊：23.63 AUD  亚马逊：26.97 EUR  亚马逊：23.62 EUR  亚马逊：2343.48 JPY  亚马逊：25.0 EUR  亚马逊：29.17 EUR  亚马逊：28.0 EUR  亚马逊：299.69 MXN  </t>
  </si>
  <si>
    <t>234</t>
  </si>
  <si>
    <t>https://x1kdna59r9a0bgea.imgsapp.com/afsd/1960/4501053325256637758290.jpg</t>
  </si>
  <si>
    <t>https://sli2xdqpxmea9rty.imgsapp.com/afsd/1960/4511053331596673835503.jpg</t>
  </si>
  <si>
    <t>https://w7kjasbz94azyeoi.imgsapp.com/afsd/1960/4831052434045211842129.jpg</t>
  </si>
  <si>
    <t>https://7q0w02j4kuyrg98x.imgsapp.com/afsd/1960/0611053327766616680718.jpg</t>
  </si>
  <si>
    <t>https://0gnred2ve1h6c23n.imgsapp.com/afsd/1960/4431053329996614641244.jpg</t>
  </si>
  <si>
    <t>https://sdklq8e835q4mu2r.imgsapp.com/afsd/1960/9911053328706616826699.jpg</t>
  </si>
  <si>
    <t>https://jg5g5w0xihw8d7yi.imgsapp.com/afsd/1960/7171053330906617121880.jpg</t>
  </si>
  <si>
    <t>https://cpqz23bov2uu2tm0.imgsapp.com/afsd/1960/2481053326716620713015.jpg</t>
  </si>
  <si>
    <t>AJN240624008GYL3</t>
  </si>
  <si>
    <t>m5UfdgbfzhahgQjx</t>
  </si>
  <si>
    <t>春夏新款男款宽松时尚防晒连帽长袖纯色亚麻衬衫 灰色 XXXL</t>
  </si>
  <si>
    <t xml:space="preserve">028 普货 25%CP：25.12 EUR  1026 450克以内 24%CP：25.64 USD  1026 450克以内 30%CP：29.58 USD  1026 450克以内25%CP：26.22 USD  1026_450克以内_20CP：23.54 USD  1026_450克以内_26CP：26.83 USD  969_普货_30CP：29.03 GBP  989  26%CP：49.71 EUR  989 普货 24%CP：29.52 USD  A1-US-048-30%CP：28.57 USD  A1美国280-28%CP：33.21 USD  BALP-德国建议价：60.06 EUR  D-FR-806-30%CP：49.08 EUR  DE-1121-26%CP：30.79 EUR  DE-612A-35%CP：71.67 EUR  E-ES-028-30%CP：52.79 EUR  F-IT-806-30%CP：54.66 EUR  GATLB英国 989 普货  26%CP：27.95 GBP  GATLD意大利-1154-23%CP：43.88 EUR  GATLD意大利-1154CP：43.88 EUR  GATLD法国-1154-15%CP：33.91 EUR  GATLD法国-1154-23%CP：40.78 EUR  GATLD法国-1154CP：40.78 EUR  GATLE西班牙EUB-28%CP：49.57 EUR  GATLH加拿大EUBCP：72.21 CAD  US-415-30%CP：31.27 USD  中东站价格CP：249.97 AED  德国1158-26%CP：38.82 EUR  极兔德国专线1156-23%CP：31.36 EUR  亚马逊：18.74 USD  亚马逊：13.4 GBP  亚马逊：27.07 CAD  亚马逊：23.27 AUD  亚马逊：26.61 EUR  亚马逊：23.49 EUR  亚马逊：2325.36 JPY  亚马逊：24.83 EUR  亚马逊：28.84 EUR  亚马逊：27.68 EUR  亚马逊：295.06 MXN  </t>
  </si>
  <si>
    <t>217</t>
  </si>
  <si>
    <t>https://ecp4okbz6jmxem7b.imgsapp.com/afsd/1960/4501053325256637758290.jpg</t>
  </si>
  <si>
    <t>https://x0kamxvnldnl8qgq.imgsapp.com/afsd/1960/4511053331596673835503.jpg</t>
  </si>
  <si>
    <t>https://vdw3hjijf2r1tmhq.imgsapp.com/afsd/1960/4831052434045211842129.jpg</t>
  </si>
  <si>
    <t>https://tgowo4uas4rerxlf.imgsapp.com/afsd/1960/0611053327766616680718.jpg</t>
  </si>
  <si>
    <t>https://cvspxp1n0rofbd0k.imgsapp.com/afsd/1960/4431053329996614641244.jpg</t>
  </si>
  <si>
    <t>https://eb2nc4b80ukysjm4.imgsapp.com/afsd/1960/9911053328706616826699.jpg</t>
  </si>
  <si>
    <t>https://m3l8jtruofov3qn9.imgsapp.com/afsd/1960/7171053330906617121880.jpg</t>
  </si>
  <si>
    <t>https://s7ftwg2wsmdbtkyl.imgsapp.com/afsd/1960/2481053326716620713015.jpg</t>
  </si>
  <si>
    <t>AJN240624008GYL4</t>
  </si>
  <si>
    <t>bjc2jLbfzhahKH8r</t>
  </si>
  <si>
    <t>春夏新款男款宽松时尚防晒连帽长袖纯色亚麻衬衫 灰色 XXXXL</t>
  </si>
  <si>
    <t xml:space="preserve">028 普货 25%CP：24.89 EUR  1026 450克以内 24%CP：25.38 USD  1026 450克以内 30%CP：29.29 USD  1026 450克以内25%CP：25.96 USD  1026_450克以内_20CP：23.31 USD  1026_450克以内_26CP：26.56 USD  969_普货_30CP：28.65 GBP  989  26%CP：49.22 EUR  989 普货 24%CP：29.24 USD  A1-US-048-30%CP：28.26 USD  A1美国280-28%CP：32.99 USD  BALP-德国建议价：59.73 EUR  D-FR-806-30%CP：48.64 EUR  DE-1121-26%CP：30.44 EUR  DE-612A-35%CP：71.39 EUR  E-ES-028-30%CP：52.37 EUR  F-IT-806-30%CP：54.2 EUR  GATLB英国 989 普货  26%CP：27.57 GBP  GATLD意大利-1154-23%CP：43.49 EUR  GATLD意大利-1154CP：43.49 EUR  GATLD法国-1154-15%CP：33.62 EUR  GATLD法国-1154-23%CP：40.43 EUR  GATLD法国-1154CP：40.43 EUR  GATLE西班牙EUB-28%CP：49.17 EUR  GATLH加拿大EUBCP：71.74 CAD  US-415-30%CP：30.99 USD  中东站价格CP：248.28 AED  德国1158-26%CP：38.45 EUR  极兔德国专线1156-23%CP：31.0 EUR  亚马逊：18.8 USD  亚马逊：13.44 GBP  亚马逊：27.14 CAD  亚马逊：23.33 AUD  亚马逊：26.67 EUR  亚马逊：23.51 EUR  亚马逊：2328.62 JPY  亚马逊：24.86 EUR  亚马逊：28.9 EUR  亚马逊：27.74 EUR  亚马逊：295.88 MXN  </t>
  </si>
  <si>
    <t>https://qm4xoorazwpyxxhz.imgsapp.com/afsd/1960/4501053325256637758290.jpg</t>
  </si>
  <si>
    <t>https://vjqk0ldzupvly9u4.imgsapp.com/afsd/1960/4511053331596673835503.jpg</t>
  </si>
  <si>
    <t>https://5m4qfnlj4jrovdqa.imgsapp.com/afsd/1960/4831052434045211842129.jpg</t>
  </si>
  <si>
    <t>https://jz80lldpb56j9jfs.imgsapp.com/afsd/1960/0611053327766616680718.jpg</t>
  </si>
  <si>
    <t>https://1usr9q9v25psvp3l.imgsapp.com/afsd/1960/4431053329996614641244.jpg</t>
  </si>
  <si>
    <t>https://qmhyiy8gk8kodcjv.imgsapp.com/afsd/1960/9911053328706616826699.jpg</t>
  </si>
  <si>
    <t>https://xtegjznirsh8bkx6.imgsapp.com/afsd/1960/7171053330906617121880.jpg</t>
  </si>
  <si>
    <t>https://fs2qn3jn1bfq37eo.imgsapp.com/afsd/1960/2481053326716620713015.jpg</t>
  </si>
  <si>
    <t>AJN240624008GYM</t>
  </si>
  <si>
    <t>i18M64bfzhahfOWt</t>
  </si>
  <si>
    <t>春夏新款男款宽松时尚防晒连帽长袖纯色亚麻衬衫 灰色 M</t>
  </si>
  <si>
    <t xml:space="preserve">028 普货 25%CP：25.01 EUR  1026 450克以内 24%CP：25.51 USD  1026 450克以内 30%CP：29.43 USD  1026 450克以内25%CP：26.08 USD  1026_450克以内_20CP：23.42 USD  1026_450克以内_26CP：26.69 USD  969_普货_30CP：28.94 GBP  989  26%CP：49.63 EUR  989 普货 24%CP：29.37 USD  A1-US-048-30%CP：28.44 USD  A1美国280-28%CP：32.96 USD  BALP-德国建议价：59.93 EUR  D-FR-806-30%CP：48.96 EUR  DE-1121-26%CP：30.61 EUR  DE-612A-35%CP：71.13 EUR  E-ES-028-30%CP：52.58 EUR  F-IT-806-30%CP：54.54 EUR  GATLB英国 989 普货  26%CP：27.87 GBP  GATLD意大利-1154-23%CP：43.8 EUR  GATLD意大利-1154CP：43.8 EUR  GATLD法国-1154-15%CP：33.82 EUR  GATLD法国-1154-23%CP：40.66 EUR  GATLD法国-1154CP：40.66 EUR  GATLE西班牙EUB-28%CP：49.37 EUR  GATLH加拿大EUBCP：71.68 CAD  US-415-30%CP：31.08 USD  中东站价格CP：249.97 AED  德国1158-26%CP：38.75 EUR  极兔德国专线1156-23%CP：31.27 EUR  亚马逊：18.64 USD  亚马逊：13.34 GBP  亚马逊：26.96 CAD  亚马逊：23.17 AUD  亚马逊：26.5 EUR  亚马逊：23.45 EUR  亚马逊：2320.29 JPY  亚马逊：24.78 EUR  亚马逊：28.75 EUR  亚马逊：27.59 EUR  亚马逊：293.7 MXN  </t>
  </si>
  <si>
    <t>212</t>
  </si>
  <si>
    <t>https://0s6wc94xvp7dtdmi.imgsapp.com/afsd/1960/4501053325256637758290.jpg</t>
  </si>
  <si>
    <t>https://9ftfem6avvi4k6d5.imgsapp.com/afsd/1960/4511053331596673835503.jpg</t>
  </si>
  <si>
    <t>https://u7x6j4r5fxc9w29p.imgsapp.com/afsd/1960/4831052434045211842129.jpg</t>
  </si>
  <si>
    <t>https://318nk6vushlo1fwq.imgsapp.com/afsd/1960/0611053327766616680718.jpg</t>
  </si>
  <si>
    <t>https://iii3ve8w9iwkkyuc.imgsapp.com/afsd/1960/4431053329996614641244.jpg</t>
  </si>
  <si>
    <t>https://wesmhnbj3b6z8r8u.imgsapp.com/afsd/1960/9911053328706616826699.jpg</t>
  </si>
  <si>
    <t>https://p2skl2oi1bli6t8a.imgsapp.com/afsd/1960/7171053330906617121880.jpg</t>
  </si>
  <si>
    <t>https://hrh1yd24n1oz5qcl.imgsapp.com/afsd/1960/2481053326716620713015.jpg</t>
  </si>
  <si>
    <t>AJN240624008GYXL</t>
  </si>
  <si>
    <t>jfBbqVbfzhaheIib</t>
  </si>
  <si>
    <t>春夏新款男款宽松时尚防晒连帽长袖纯色亚麻衬衫 灰色 XL</t>
  </si>
  <si>
    <t xml:space="preserve">028 普货 25%CP：24.51 EUR  1026 450克以内 24%CP：24.96 USD  1026 450克以内 30%CP：28.8 USD  1026 450克以内25%CP：25.52 USD  1026_450克以内_20CP：22.92 USD  1026_450克以内_26CP：26.12 USD  969_普货_30CP：28.37 GBP  989  26%CP：48.96 EUR  989 普货 24%CP：28.76 USD  A1-US-048-30%CP：27.84 USD  A1美国280-28%CP：32.2 USD  BALP-德国建议价：59.31 EUR  D-FR-806-30%CP：48.27 EUR  DE-1121-26%CP：29.88 EUR  DE-612A-35%CP：69.65 EUR  E-ES-028-30%CP：51.71 EUR  F-IT-806-30%CP：53.8 EUR  GATLB英国 989 普货  26%CP：27.34 GBP  GATLD意大利-1154-23%CP：43.22 EUR  GATLD意大利-1154CP：43.22 EUR  GATLD法国-1154-15%CP：33.32 EUR  GATLD法国-1154-23%CP：40.06 EUR  GATLD法国-1154CP：40.06 EUR  GATLE西班牙EUB-28%CP：48.55 EUR  GATLH加拿大EUBCP：70.03 CAD  US-415-30%CP：30.38 USD  中东站价格CP：248.28 AED  德国1158-26%CP：38.24 EUR  极兔德国专线1156-23%CP：30.69 EUR  亚马逊：18.48 USD  亚马逊：13.24 GBP  亚马逊：26.79 CAD  亚马逊：23.02 AUD  亚马逊：26.33 EUR  亚马逊：23.39 EUR  亚马逊：2311.59 JPY  亚马逊：24.7 EUR  亚马逊：28.6 EUR  亚马逊：27.44 EUR  亚马逊：291.52 MXN  </t>
  </si>
  <si>
    <t>https://vsvk79zrbz6be6tr.imgsapp.com/afsd/1960/4501053325256637758290.jpg</t>
  </si>
  <si>
    <t>https://891w8ay82lvq0mre.imgsapp.com/afsd/1960/4511053331596673835503.jpg</t>
  </si>
  <si>
    <t>https://xdw1q9yff9rd5l2y.imgsapp.com/afsd/1960/4831052434045211842129.jpg</t>
  </si>
  <si>
    <t>https://8le0bn8ajmpwlfjr.imgsapp.com/afsd/1960/0611053327766616680718.jpg</t>
  </si>
  <si>
    <t>https://8tairl7lq8vsfdv9.imgsapp.com/afsd/1960/4431053329996614641244.jpg</t>
  </si>
  <si>
    <t>https://5wfcve6weucchuuv.imgsapp.com/afsd/1960/9911053328706616826699.jpg</t>
  </si>
  <si>
    <t>https://7gophvgahjbwbp0t.imgsapp.com/afsd/1960/7171053330906617121880.jpg</t>
  </si>
  <si>
    <t>https://jxfh5zp4w0el6dm2.imgsapp.com/afsd/1960/2481053326716620713015.jpg</t>
  </si>
  <si>
    <t>AKL260709001</t>
  </si>
  <si>
    <t>7aqSkqbfzhahHjEB</t>
  </si>
  <si>
    <t>Chemise Western Homme Imprimé Vintage Manches Longues</t>
  </si>
  <si>
    <t>Géométrique Col Revers Boutonnage, Deux Poches Poitrine Plein Air, Western Décontracté Chemise Doux Lisse</t>
  </si>
  <si>
    <t>男士复古民族印花长袖翻领衬衫 常规版型几何图案渐变染色 双侧翻盖胸袋纽扣开襟 西部牛仔风户外休闲上衣</t>
  </si>
  <si>
    <t>Pink,Blue,Red,Orange,Yellow</t>
  </si>
  <si>
    <t xml:space="preserve">028 普货 25%CP：24.17 EUR  1026 450克以内 24%CP：24.67 USD  1026 450克以内 30%CP：28.47 USD  1026 450克以内25%CP：25.23 USD  1026_450克以内_20CP：22.66 USD  1026_450克以内_26CP：25.82 USD  969_普货_30CP：26.45 GBP  989  26%CP：45.43 EUR  989 普货 24%CP：28.54 USD  A1-US-048-30%CP：26.98 USD  A1美国280-28%CP：34.21 USD  BALP-德国建议价：59.08 EUR  D-FR-806-30%CP：45.91 EUR  DE-1121-26%CP：29.39 EUR  DE-612A-35%CP：76.13 EUR  E-ES-028-30%CP：51.07 EUR  F-IT-806-30%CP：51.37 EUR  GATLB英国 989 普货  26%CP：24.99 GBP  GATLD意大利-1154-23%CP：40.78 EUR  GATLD意大利-1154CP：40.78 EUR  GATLD法国-1154-15%CP：32.06 EUR  GATLD法国-1154-23%CP：38.56 EUR  GATLD法国-1154CP：38.56 EUR  GATLE西班牙EUB-28%CP：47.95 EUR  GATLH加拿大EUBCP：74.51 CAD  US-415-30%CP：30.96 USD  中东站价格CP：250.92 AED  德国1158-26%CP：36.08 EUR  极兔德国专线1156-23%CP：28.69 EUR  亚马逊：18.6 USD  亚马逊：12.62 GBP  亚马逊：26.68 CAD  亚马逊：21.76 AUD  亚马逊：26.38 EUR  亚马逊：22.12 EUR  亚马逊：2071.38 JPY  亚马逊：23.17 EUR  亚马逊：28.3 EUR  亚马逊：27.18 EUR  亚马逊：284.21 MXN  </t>
  </si>
  <si>
    <t>320</t>
  </si>
  <si>
    <t>https://yw1btgr5w1hoinxn.imgsapp.com/afsd/8410/4350417595812353496059.jpg</t>
  </si>
  <si>
    <t>https://lums3sirgcughqv7.imgsapp.com/afsd/8410/3000417596682369046444.jpg</t>
  </si>
  <si>
    <t>https://hdhzah2me5sh3io3.imgsapp.com/afsd/8410/6610417597582368318874.jpg</t>
  </si>
  <si>
    <t>https://h0ntwim3ytifxhzx.imgsapp.com/afsd/8410/7630417595922320957826.jpg</t>
  </si>
  <si>
    <t>https://zoi7sfed08cknib8.imgsapp.com/afsd/8410/8570417597602317035597.jpg</t>
  </si>
  <si>
    <t>https://s648ny3xewps0pyg.imgsapp.com/afsd/8410/8070417597502382546720.jpg</t>
  </si>
  <si>
    <t>https://5qr8s9irwvyzhkfe.imgsapp.com/afsd/8410/5310417594402316268882.jpg</t>
  </si>
  <si>
    <t>https://mmxmflblhpqnhm9j.imgsapp.com/afsd/8410/8050417585702319469940.jpg</t>
  </si>
  <si>
    <t>https://65jcab47ihd0qfgg.imgsapp.com/afsd/8410/5079041758627234955698.jpg</t>
  </si>
  <si>
    <t>Col rabattu</t>
  </si>
  <si>
    <t>Occidental</t>
  </si>
  <si>
    <t>Régulier</t>
  </si>
  <si>
    <t>Col cranté</t>
  </si>
  <si>
    <t>Tissu ultra-légèrement aéré : grâce à une sélection de matières premières nobles, nos chemises homme offrent une respirabilité exceptionnelle qui vous enveloppe d’une sensation de fraîcheur tout au long de la journée.</t>
  </si>
  <si>
    <t>Coupe moderne et intemporelle : ce modèle au design épuré mêle avec subtilité l’esprit classique et une touche contemporaine, pour un rendu aussi chic que décontracté, parfait pour vos journées estivales.</t>
  </si>
  <si>
    <t>Adaptée à toutes les situations : que vous flâniez en bord de mer, que vous participiez à un pique-nique entre amis ou que vous profitiez d’un moment de farniente à la maison, cette chemise en lin à manches longues s’impose comme la pièce maîtresse de vos tenues décontractées.</t>
  </si>
  <si>
    <t>Associations faciles et infinies : portez-la avec un bermuda, un pantalon en toile ou un jean brut, et vous obtiendrez en un clin d’œil une allure élégante et naturelle, qui passe sans effort de la lumière du jour aux soirées douces.</t>
  </si>
  <si>
    <t>Solidité et entretien simplifié : confectionnée selon un savoir-faire rigoureux, cette chemise d’été allie esthétique raffinée et praticité – elle supporte parfaitement le lavage en machine et conserve son éclat saison après saison, devenant vite un indispensable de votre dressing.</t>
  </si>
  <si>
    <t>AKL260709001BUL</t>
  </si>
  <si>
    <t>gBxrXvbfzhahdzpE</t>
  </si>
  <si>
    <t>男士复古民族印花双口袋长袖翻领衬衫 蓝色 L</t>
  </si>
  <si>
    <t>Blue</t>
  </si>
  <si>
    <t>Bleu</t>
  </si>
  <si>
    <t xml:space="preserve">028 普货 25%CP：21.59 EUR  1026 450克以内 24%CP：21.75 USD  1026 450克以内 30%CP：25.09 USD  1026 450克以内25%CP：22.24 USD  1026_450克以内_20CP：19.97 USD  1026_450克以内_26CP：22.76 USD  969_普货_30CP：24.12 GBP  989  26%CP：43.64 EUR  989 普货 24%CP：25.24 USD  A1-US-048-30%CP：24.11 USD  A1美国280-28%CP：28.8 USD  BALP-德国建议价：55.38 EUR  D-FR-806-30%CP：43.35 EUR  DE-1121-26%CP：25.54 EUR  DE-612A-35%CP：64.23 EUR  E-ES-028-30%CP：46.55 EUR  F-IT-806-30%CP：48.6 EUR  GATLB英国 989 普货  26%CP：23.25 GBP  GATLD意大利-1154-23%CP：38.95 EUR  GATLD意大利-1154CP：38.95 EUR  GATLD法国-1154-15%CP：29.97 EUR  GATLD法国-1154-23%CP：36.04 EUR  GATLD法国-1154CP：36.04 EUR  GATLE西班牙EUB-28%CP：43.7 EUR  GATLH加拿大EUBCP：62.76 CAD  US-415-30%CP：26.72 USD  中东站价格CP：231.39 AED  德国1158-26%CP：34.23 EUR  极兔德国专线1156-23%CP：26.61 EUR  亚马逊：16.41 USD  亚马逊：11.29 GBP  亚马逊：23.66 CAD  亚马逊：19.6 AUD  亚马逊：24.02 EUR  亚马逊：21.03 EUR  亚马逊：1955.8 JPY  亚马逊：22.29 EUR  亚马逊：26.21 EUR  亚马逊：25.11 EUR  亚马逊：254.26 MXN  </t>
  </si>
  <si>
    <t>210</t>
  </si>
  <si>
    <t>https://31gyj45pv3mz23uw.imgsapp.com/afsd/8410/9760417352502330197879.jpg</t>
  </si>
  <si>
    <t>https://d5a84qjipln5nfiw.imgsapp.com/afsd/8410/2430417353832315010697.jpg</t>
  </si>
  <si>
    <t>https://3brdlm5a13749t17.imgsapp.com/afsd/8410/0540417353102388079325.jpg</t>
  </si>
  <si>
    <t>https://0j9gpe3lgl76ohbq.imgsapp.com/afsd/8410/4290417351252316752464.jpg</t>
  </si>
  <si>
    <t>https://rg7gghx9c0sj476c.imgsapp.com/afsd/8410/1480417352032310593030.jpg</t>
  </si>
  <si>
    <t>AKL260709001BUL2</t>
  </si>
  <si>
    <t>2U6C2obfzhah1tZa</t>
  </si>
  <si>
    <t>男士复古民族印花双口袋长袖翻领衬衫 蓝色 XXL</t>
  </si>
  <si>
    <t xml:space="preserve">028 普货 25%CP：25.1 EUR  1026 450克以内 24%CP：25.74 USD  1026 450克以内 30%CP：29.7 USD  1026 450克以内25%CP：26.32 USD  1026_450克以内_20CP：23.64 USD  1026_450克以内_26CP：26.93 USD  969_普货_30CP：27.2 GBP  989  26%CP：46.08 EUR  989 普货 24%CP：29.73 USD  A1-US-048-30%CP：28.02 USD  A1美国280-28%CP：36.17 USD  BALP-德国建议价：60.12 EUR  D-FR-806-30%CP：46.84 EUR  DE-1121-26%CP：30.79 EUR  DE-612A-35%CP：80.45 EUR  E-ES-028-30%CP：52.72 EUR  F-IT-806-30%CP：52.37 EUR  GATLB英国 989 普货  26%CP：25.59 GBP  GATLD意大利-1154-23%CP：41.44 EUR  GATLD意大利-1154CP：41.44 EUR  GATLD法国-1154-15%CP：32.83 EUR  GATLD法国-1154-23%CP：39.47 EUR  GATLD法国-1154CP：39.47 EUR  GATLE西班牙EUB-28%CP：49.5 EUR  GATLH加拿大EUBCP：78.78 CAD  US-415-30%CP：32.49 USD  中东站价格CP：250.92 AED  德国1158-26%CP：36.6 EUR  极兔德国专线1156-23%CP：29.44 EUR  亚马逊：19.4 USD  亚马逊：13.1 GBP  亚马逊：27.54 CAD  亚马逊：22.55 AUD  亚马逊：27.24 EUR  亚马逊：22.43 EUR  亚马逊：2113.41 JPY  亚马逊：23.54 EUR  亚马逊：29.06 EUR  亚马逊：27.93 EUR  亚马逊：295.1 MXN  </t>
  </si>
  <si>
    <t>360</t>
  </si>
  <si>
    <t>https://mkfixm39me9c5djg.imgsapp.com/afsd/8410/9760417352502330197879.jpg</t>
  </si>
  <si>
    <t>https://toeqet5dwcia7abp.imgsapp.com/afsd/8410/2430417353832315010697.jpg</t>
  </si>
  <si>
    <t>https://upqxf9b2eo0tk5w6.imgsapp.com/afsd/8410/0540417353102388079325.jpg</t>
  </si>
  <si>
    <t>https://l7997d7ek3osp363.imgsapp.com/afsd/8410/4290417351252316752464.jpg</t>
  </si>
  <si>
    <t>https://jgpoqdfzm14h3pxj.imgsapp.com/afsd/8410/1480417352032310593030.jpg</t>
  </si>
  <si>
    <t>AKL260709001BUL3</t>
  </si>
  <si>
    <t>EiqZ2sbfzhahMz76</t>
  </si>
  <si>
    <t>男士复古民族印花双口袋长袖翻领衬衫 蓝色 XXXL</t>
  </si>
  <si>
    <t xml:space="preserve">028 普货 25%CP：25.34 EUR  1026 450克以内 24%CP：26.0 USD  1026 450克以内 30%CP：30.0 USD  1026 450克以内25%CP：26.59 USD  1026_450克以内_20CP：23.88 USD  1026_450克以内_26CP：27.21 USD  969_普货_30CP：27.39 GBP  989  26%CP：46.24 EUR  989 普货 24%CP：30.03 USD  A1-US-048-30%CP：28.28 USD  A1美国280-28%CP：36.66 USD  BALP-德国建议价：60.38 EUR  D-FR-806-30%CP：47.07 EUR  DE-1121-26%CP：31.14 EUR  DE-612A-35%CP：81.54 EUR  E-ES-028-30%CP：53.13 EUR  F-IT-806-30%CP：52.63 EUR  GATLB英国 989 普货  26%CP：25.74 GBP  GATLD意大利-1154-23%CP：41.61 EUR  GATLD意大利-1154CP：41.61 EUR  GATLD法国-1154-15%CP：33.02 EUR  GATLD法国-1154-23%CP：39.7 EUR  GATLD法国-1154CP：39.7 EUR  GATLE西班牙EUB-28%CP：49.89 EUR  GATLH加拿大EUBCP：79.85 CAD  US-415-30%CP：32.88 USD  中东站价格CP：250.92 AED  德国1158-26%CP：36.73 EUR  极兔德国专线1156-23%CP：29.63 EUR  亚马逊：19.6 USD  亚马逊：13.22 GBP  亚马逊：27.76 CAD  亚马逊：22.74 AUD  亚马逊：27.45 EUR  亚马逊：22.5 EUR  亚马逊：2123.91 JPY  亚马逊：23.64 EUR  亚马逊：29.25 EUR  亚马逊：28.12 EUR  亚马逊：297.82 MXN  </t>
  </si>
  <si>
    <t>370</t>
  </si>
  <si>
    <t>https://31wxiaqz21ggp70o.imgsapp.com/afsd/8410/9760417352502330197879.jpg</t>
  </si>
  <si>
    <t>https://cqsa96m2xbghl15n.imgsapp.com/afsd/8410/2430417353832315010697.jpg</t>
  </si>
  <si>
    <t>https://tjjsr5bkrx8lj1qc.imgsapp.com/afsd/8410/0540417353102388079325.jpg</t>
  </si>
  <si>
    <t>https://bw834gbq1c7m10b4.imgsapp.com/afsd/8410/4290417351252316752464.jpg</t>
  </si>
  <si>
    <t>https://hsr7ahtnprczf6hx.imgsapp.com/afsd/8410/1480417352032310593030.jpg</t>
  </si>
  <si>
    <t>AKL260709001BUM</t>
  </si>
  <si>
    <t>ZAHXlHbfzhah2wZP</t>
  </si>
  <si>
    <t>男士复古民族印花双口袋长袖翻领衬衫 蓝色 M</t>
  </si>
  <si>
    <t xml:space="preserve">028 普货 25%CP：24.4 EUR  1026 450克以内 24%CP：24.94 USD  1026 450克以内 30%CP：28.78 USD  1026 450克以内25%CP：25.51 USD  1026_450克以内_20CP：22.9 USD  1026_450克以内_26CP：26.1 USD  969_普货_30CP：26.64 GBP  989  26%CP：45.59 EUR  989 普货 24%CP：28.84 USD  A1-US-048-30%CP：27.24 USD  A1美国280-28%CP：34.7 USD  BALP-德国建议价：59.34 EUR  D-FR-806-30%CP：46.14 EUR  DE-1121-26%CP：29.74 EUR  DE-612A-35%CP：77.21 EUR  E-ES-028-30%CP：51.48 EUR  F-IT-806-30%CP：51.62 EUR  GATLB英国 989 普货  26%CP：25.14 GBP  GATLD意大利-1154-23%CP：40.94 EUR  GATLD意大利-1154CP：40.94 EUR  GATLD法国-1154-15%CP：32.25 EUR  GATLD法国-1154-23%CP：38.79 EUR  GATLD法国-1154CP：38.79 EUR  GATLE西班牙EUB-28%CP：48.34 EUR  GATLH加拿大EUBCP：75.58 CAD  US-415-30%CP：31.34 USD  中东站价格CP：250.92 AED  德国1158-26%CP：36.21 EUR  极兔德国专线1156-23%CP：28.88 EUR  亚马逊：18.8 USD  亚马逊：12.74 GBP  亚马逊：26.89 CAD  亚马逊：21.96 AUD  亚马逊：26.59 EUR  亚马逊：22.2 EUR  亚马逊：2081.88 JPY  亚马逊：23.26 EUR  亚马逊：28.49 EUR  亚马逊：27.37 EUR  亚马逊：286.93 MXN  </t>
  </si>
  <si>
    <t>330</t>
  </si>
  <si>
    <t>https://8q18ux1hgrotdp7d.imgsapp.com/afsd/8410/9760417352502330197879.jpg</t>
  </si>
  <si>
    <t>https://maoxk6xxqa97rmql.imgsapp.com/afsd/8410/2430417353832315010697.jpg</t>
  </si>
  <si>
    <t>https://x8rbshlakviag7wd.imgsapp.com/afsd/8410/0540417353102388079325.jpg</t>
  </si>
  <si>
    <t>https://cnyh1fdp92tfi2ej.imgsapp.com/afsd/8410/4290417351252316752464.jpg</t>
  </si>
  <si>
    <t>https://bv70hi2p99e2yjw2.imgsapp.com/afsd/8410/1480417352032310593030.jpg</t>
  </si>
  <si>
    <t>AKL260709001BUS</t>
  </si>
  <si>
    <t>OJslswbfzhahgV4n</t>
  </si>
  <si>
    <t>男士复古民族印花双口袋长袖翻领衬衫 蓝色 S</t>
  </si>
  <si>
    <t>S (s)</t>
  </si>
  <si>
    <t>https://tsz3eiuzgixzbmj8.imgsapp.com/afsd/8410/9760417352502330197879.jpg</t>
  </si>
  <si>
    <t>https://vj4dmyx2yosheq3p.imgsapp.com/afsd/8410/2430417353832315010697.jpg</t>
  </si>
  <si>
    <t>https://be3lk3vire8wzxvl.imgsapp.com/afsd/8410/0540417353102388079325.jpg</t>
  </si>
  <si>
    <t>https://th4pedbs5tb1szv2.imgsapp.com/afsd/8410/4290417351252316752464.jpg</t>
  </si>
  <si>
    <t>https://ddm6mevc6h628i2p.imgsapp.com/afsd/8410/1480417352032310593030.jpg</t>
  </si>
  <si>
    <t>AKL260709001BUXL</t>
  </si>
  <si>
    <t>OJMKmubfzhahcdku</t>
  </si>
  <si>
    <t>男士复古民族印花双口袋长袖翻领衬衫 蓝色 XL</t>
  </si>
  <si>
    <t xml:space="preserve">028 普货 25%CP：24.87 EUR  1026 450克以内 24%CP：25.47 USD  1026 450克以内 30%CP：29.39 USD  1026 450克以内25%CP：26.05 USD  1026_450克以内_20CP：23.39 USD  1026_450克以内_26CP：26.66 USD  969_普货_30CP：27.02 GBP  989  26%CP：45.92 EUR  989 普货 24%CP：29.43 USD  A1-US-048-30%CP：27.76 USD  A1美国280-28%CP：35.68 USD  BALP-德国建议价：59.86 EUR  D-FR-806-30%CP：46.61 EUR  DE-1121-26%CP：30.44 EUR  DE-612A-35%CP：79.37 EUR  E-ES-028-30%CP：52.31 EUR  F-IT-806-30%CP：52.12 EUR  GATLB英国 989 普货  26%CP：25.44 GBP  GATLD意大利-1154-23%CP：41.28 EUR  GATLD意大利-1154CP：41.28 EUR  GATLD法国-1154-15%CP：32.64 EUR  GATLD法国-1154-23%CP：39.24 EUR  GATLD法国-1154CP：39.24 EUR  GATLE西班牙EUB-28%CP：49.11 EUR  GATLH加拿大EUBCP：77.71 CAD  US-415-30%CP：32.11 USD  中东站价格CP：250.92 AED  德国1158-26%CP：36.47 EUR  极兔德国专线1156-23%CP：29.26 EUR  亚马逊：19.2 USD  亚马逊：12.98 GBP  亚马逊：27.33 CAD  亚马逊：22.35 AUD  亚马逊：27.02 EUR  亚马逊：22.35 EUR  亚马逊：2102.9 JPY  亚马逊：23.45 EUR  亚马逊：28.87 EUR  亚马逊：27.74 EUR  亚马逊：292.38 MXN  </t>
  </si>
  <si>
    <t>350</t>
  </si>
  <si>
    <t>https://qhcryyn9kqcukyea.imgsapp.com/afsd/8410/9760417352502330197879.jpg</t>
  </si>
  <si>
    <t>https://azb17mr9ogd7tdj2.imgsapp.com/afsd/8410/2430417353832315010697.jpg</t>
  </si>
  <si>
    <t>https://0qrlxha48blb6pgu.imgsapp.com/afsd/8410/0540417353102388079325.jpg</t>
  </si>
  <si>
    <t>https://457tq42qo40czqs4.imgsapp.com/afsd/8410/4290417351252316752464.jpg</t>
  </si>
  <si>
    <t>https://kaej2h29766ukbtf.imgsapp.com/afsd/8410/1480417352032310593030.jpg</t>
  </si>
  <si>
    <t>Col point</t>
  </si>
  <si>
    <t>Thème</t>
  </si>
  <si>
    <t>Classique</t>
  </si>
  <si>
    <t>Chemise Medievale Homme Motif Baroque Manches Longues</t>
  </si>
  <si>
    <t>Imprimé 3D Col Pointu Boutonnage Carnaval Médiéval Soirée Fin Tricoté Chemise Lisse Aéré Fluide Fin Épuré</t>
  </si>
  <si>
    <t>Rétro</t>
  </si>
  <si>
    <t>Chemise Annee 70 Homme Imprimé Psychédélique Boutonnage</t>
  </si>
  <si>
    <t>Floral Coupe Régulière Col Revers, Manches Longues Carnaval Disco, Fin Respirant Chemise Aéré Fluide Fin Essentiel</t>
  </si>
  <si>
    <t>Robe</t>
  </si>
  <si>
    <t>Robe veste</t>
  </si>
  <si>
    <t>Maillot de tunique</t>
  </si>
  <si>
    <t>Fermeture éclair</t>
  </si>
  <si>
    <t>Robe Longue Coton Homme Capuche Longueur Cheville Décontracté</t>
  </si>
  <si>
    <t>Coton Cordon de Serrage Fermeture Éclair Poche Broderie Musulman Vacances Ample Léger Robe Longue Fluide Fin</t>
  </si>
  <si>
    <t>Dobby</t>
  </si>
  <si>
    <t>Henley</t>
  </si>
  <si>
    <t>Robe Longue Homme Sans Col Demi-Ouverture Longueur Cheville</t>
  </si>
  <si>
    <t>Boutons Rayures Verticales Deux, Poches Appliquées Musulman Plage, Coton Léger Robe Longue Fin Épuré Discret</t>
  </si>
  <si>
    <t>Col boutonné</t>
  </si>
  <si>
    <t>D'affaires décontractée</t>
  </si>
  <si>
    <t>Sergé</t>
  </si>
  <si>
    <t>Chemise a Carreaux Homme Manches Longues Coton Boutonnage</t>
  </si>
  <si>
    <t>Col Revers Poche Affaires Bureau Quotidien Respirant Léger Élastique Tricoté Chemise Épuré Discret Chic Élégant</t>
  </si>
  <si>
    <t>Moderne</t>
  </si>
  <si>
    <t>Stretch</t>
  </si>
  <si>
    <t>Chemise Homme Rayures Manches Longues Col Revers Boutonnage</t>
  </si>
  <si>
    <t>Métallique Encolure Pointu Ourlet Courbe, Élastique Bureau Soirée, Léger Respirant Chemise Discret Chic Élégant</t>
  </si>
  <si>
    <t>Chemise Homme Manches Longues Imprimé 3D Grande Taille</t>
  </si>
  <si>
    <t>Dégradé Arc-en-ciel À Pois Col Revers Boutonnage Ourlet Courbe Carnaval Léger Chemise Chic Élégant Décontracté</t>
  </si>
  <si>
    <t>Col rond</t>
  </si>
  <si>
    <t>T-shirt</t>
  </si>
  <si>
    <t>Perle</t>
  </si>
  <si>
    <t>À enfiler</t>
  </si>
  <si>
    <t>T-shirt Homme Gaufré Col Rond Manches Longues Côtes Léger</t>
  </si>
  <si>
    <t>Texte Feuille d Érable Insigne, Sport Plein Air Décontracté, Anti-UV T-shirt Élégant Relâché Respirant Confortable</t>
  </si>
  <si>
    <t>Col à revers</t>
  </si>
  <si>
    <t>Veste</t>
  </si>
  <si>
    <t>Veste Costume Homme Lin Coton Coupe Régulière Single Boutonnage</t>
  </si>
  <si>
    <t>Fausse Poche Affaires Vacances Printemps-Été Léger Décontracté Ligne Classique Veste Relâché Respirant Confortable</t>
  </si>
  <si>
    <t>Blouse</t>
  </si>
  <si>
    <t>Col V</t>
  </si>
  <si>
    <t>Chemise Lin Homme Col V Encolure Manches Longues Ample</t>
  </si>
  <si>
    <t>Coton Assemblage Ourlet Irrégulier, Vacances Respirant Léger, Décontracté Élastique Chemise Relâché Confortable</t>
  </si>
  <si>
    <t>Chemise Homme Ete Col Revers Manches Longues Ourlet Courbe</t>
  </si>
  <si>
    <t>Ligne Décorative Boutonnage Manchons Retroussées Respirant Vacances Fin Tricoté Haut Confortable Ajusté Essentiel</t>
  </si>
  <si>
    <t>Guayabera</t>
  </si>
  <si>
    <t>Chemise Blanche Homme Oktoberfest Col Revers Manches Longues</t>
  </si>
  <si>
    <t>Blanc Plissé Boutonnage Bavarois, Fête Fin Décontracté, Paillettes Brillant Haut Respirant Confortable Essentiel</t>
  </si>
  <si>
    <t>Chemise Cowboy Homme Franges Manches Longues Boutonnage</t>
  </si>
  <si>
    <t>Bordures Contrastées Col Revers Boutons Manchons Retroussées Scène Soirée Western Léger Chemise Confortable</t>
  </si>
  <si>
    <t>Bouton-pression</t>
  </si>
  <si>
    <t>Chemise Jeans Homme Délavé Vieilli Manches Longues Boutons Pression</t>
  </si>
  <si>
    <t>Denim Délavaté Col Revers Deux, Poches Poitrine Manchons Retroussées, Ourlet Courbe Western Travail Chemise</t>
  </si>
  <si>
    <t>Col mao</t>
  </si>
  <si>
    <t>Bohème</t>
  </si>
  <si>
    <t>Col noué</t>
  </si>
  <si>
    <t>Cordon de serrage</t>
  </si>
  <si>
    <t>Chemise Col Mao Homme Lin Lacets Croisés Manches Longues</t>
  </si>
  <si>
    <t>Col Montant Poche Appliquée Manchons Retroussées Vacances Respirant Léger Tricoté Chemise Cintré Ample Oversize</t>
  </si>
  <si>
    <t>Polo Homme Lin Coton Ample Grande Taille Décontracté</t>
  </si>
  <si>
    <t>Col Revers Boutonnage Ourlet Courbe, Vacances Respirant Léger, Relâché Élastique Polo Oversize Texturé Matelassé</t>
  </si>
  <si>
    <t>Punk</t>
  </si>
  <si>
    <t>T-shirt Homme Imprimé Squelette Col Rond Manches Longues</t>
  </si>
  <si>
    <t>3D Noir Contrasté Halloween Soirée Coton Léger Décontracté Ample T-shirt Oversize Texturé Matelassé Gaufré</t>
  </si>
  <si>
    <t>Chemise Henley</t>
  </si>
  <si>
    <t>Chemise Homme Ete Capuche Cordon de Serrage Demi-Ouverture</t>
  </si>
  <si>
    <t>Lin Boutons Deux Poches, Appliquées Manches Longues, Vacances Plein Air Respira Chemise Texturé Matelassé</t>
  </si>
  <si>
    <t>De soirée</t>
  </si>
  <si>
    <t>Chemise Annee 70 Homme Imprimé Floral Manches Longues</t>
  </si>
  <si>
    <t>Vintage Col Pointu Boutonnage Carnaval Fête Léger Tricoté Respirant Chemise Matelassé Gaufré Tissé Maillé</t>
  </si>
  <si>
    <t>Chemise Homme Manches Longues Coton Unie Ourlet Courbe</t>
  </si>
  <si>
    <t>Col Revers Boutonnage Manches Relevées, Plage Vacances Léger, Décontracté Tissu Doux Chemise Gaufré Tricoté</t>
  </si>
  <si>
    <t>Col mock</t>
  </si>
  <si>
    <t>Chemise Col Mao Homme Demi-Ouverture Manches Longues Poche</t>
  </si>
  <si>
    <t>Col Montant Boutons Pochette Appliquée Manchons Retroussées Ourlet Courbe Vacances Léger Chemise Tricoté Tissé</t>
  </si>
  <si>
    <t>Utilité professionnelle</t>
  </si>
  <si>
    <t>Militaire</t>
  </si>
  <si>
    <t>T-shirt d'utilité professionnelle</t>
  </si>
  <si>
    <t>T-shirt Sport Homme Réfléchissant Col Rond Manches Longues</t>
  </si>
  <si>
    <t>Bande Réfléchissante Encolure Circulaire, Côtes Respirant Travail, Plein Air Élastique T-shirt Tissé Maillé</t>
  </si>
  <si>
    <t>Polo Homme Oktoberfest Broderie Manches Longues Plissé</t>
  </si>
  <si>
    <t>Encolure Rabattu Boutonnage Bavarois Fête Fin Coton Relâché Tricoté Polo Maillé Satiné Brillant Métallique</t>
  </si>
  <si>
    <t>Chemise Lin Homme Col V Lacets Manches Longues Ample</t>
  </si>
  <si>
    <t>Anneau Métallique Corde Insigne, Fentes Latérales Tribal Rétro, Fin Respirant Haut Satiné Brillant Mat Essentiel</t>
  </si>
  <si>
    <t>Col montant</t>
  </si>
  <si>
    <t>Confort</t>
  </si>
  <si>
    <t>Slim</t>
  </si>
  <si>
    <t>À col haut</t>
  </si>
  <si>
    <t>T-shirt Homme Coton Col Mi-Haut Manches Longues Élastique</t>
  </si>
  <si>
    <t>Tricoté Encolure Cintré Sport Fin Respirant Extensible Décontracté T-shirt Brillant Métallique Mat Imprimé</t>
  </si>
  <si>
    <t>Chemise Homme Imprimé Squelette 3D Manches Longues Boutonnage</t>
  </si>
  <si>
    <t>Encolure Rabattu Halloween Soirée, Fin Coton Tricoté, Décontracté Élastique Chemise Métallique Mat Motif Rayé</t>
  </si>
  <si>
    <t>Chemise Homme Manches Longues Imprimé Squelette Halloween</t>
  </si>
  <si>
    <t>Col Revers Boutonnage Fête Fin Tricoté Décontracté Respirant Ample Chemise Mat Motif Rayé À Pois Géométrique</t>
  </si>
  <si>
    <t>Chemise Noire Homme Imprimé Squelette Manches Longues Boutonnage</t>
  </si>
  <si>
    <t>3D Col Revers Halloween, Horreur Léger Coton, Décontracté Élastique Chemise Motif Rayé À Pois Géométrique</t>
  </si>
  <si>
    <t>Chemise Homme Ete Élastique Col Revers Manches Longues Contrasté</t>
  </si>
  <si>
    <t>Encolure Pointu Boutonnage Design Bicolore Bureau Affaires Léger Tricoté Chemise Motif Rayé À Pois Géométrique</t>
  </si>
  <si>
    <t>Chemise Homme Manches Longues Imprimé Halloween Boutonnage</t>
  </si>
  <si>
    <t>Maison Hantée Chat Noir Col, Revers Manches Contrastées Fête, Léger Décontracté Chemise Rayé À Pois Géométrique</t>
  </si>
  <si>
    <t>Chemise longue à bouton d'utilité professionnelle</t>
  </si>
  <si>
    <t>Surchemise Homme Manches Longues Poche Poitrine Travail</t>
  </si>
  <si>
    <t>Col Revers Boutonnage Ourlet Courbe Plein Air Léger Respirant Décontracté Surchemise À Pois Géométrique Floral</t>
  </si>
  <si>
    <t>Col polo</t>
  </si>
  <si>
    <t>Polo</t>
  </si>
  <si>
    <t>Athlétique</t>
  </si>
  <si>
    <t>Polo Homme Manches Longues Gaufré Demi-Ouverture Poche</t>
  </si>
  <si>
    <t>Soie Glacée Boutons Col Revers, Sport Bureau Léger, Décontracté Élastique Polo Géométrique Floral Baroque</t>
  </si>
  <si>
    <t>Chemise Homme Imprimé Halloween Manches Longues Boutonnage</t>
  </si>
  <si>
    <t>Chaudron Col Revers Fixation Fête Soirée Léger Coton Tricoté Respirant Chemise Floral Baroque Vintage Rétro</t>
  </si>
  <si>
    <t>Chemise Homme Manches Longues Imprimé Éclaboussure Halloween</t>
  </si>
  <si>
    <t>d Encre Bicolore Col Revers, Boutonnage Manches Contrastées, Horreur Léger Chemise Baroque Vintage Rétro Moderne</t>
  </si>
  <si>
    <t>Serrée</t>
  </si>
  <si>
    <t>Manche raglan</t>
  </si>
  <si>
    <t>T-shirt Sport Homme Moulant Manches Raglan Haute Élasticité</t>
  </si>
  <si>
    <t>Col Montant Sport Course Entraînement Respirant Fin Élastique Relâché T-shirt Vintage Rétro Moderne Essentiel</t>
  </si>
  <si>
    <t>Chemise Homme Élastique Col Revers Manches Longues Sport</t>
  </si>
  <si>
    <t>Boutonnage Bureau Quotidien, Fin Tricoté Relâché, Extensible Respirant Chemise Rétro Moderne Classique Essentiel</t>
  </si>
  <si>
    <t>Chemise Homme Manches Longues Imprimé Fluorescent Grande Taille</t>
  </si>
  <si>
    <t>Motif Psychédélique Col Revers Boutonnage Carnaval Soirée Fin Tricoté Relâché Chemise Moderne Classique Essentiel</t>
  </si>
  <si>
    <t>T-shirt Oversize Homme Col Rond Manches Longues Texte</t>
  </si>
  <si>
    <t>Paris Contrasté Encolure Circulaire, Respirant Sport Quotidien, Coton Fin T-shirt Classique Urbain Relâché Urbain</t>
  </si>
  <si>
    <t>Chemise Homme Imprimé 3D Père Noël Manches Longues Boutonnage</t>
  </si>
  <si>
    <t>Paysage Enneigé Col Revers Fixation Fête Hiver, Fin Tricoté, Relâché Chemise Urbain Relâché Urbain Essentiel</t>
  </si>
  <si>
    <t>Chemise Homme Manches Longues Drapeau Américain Boutonnage</t>
  </si>
  <si>
    <t>Insigne Col Revers Fixation Grande Taille, Fête de l Indépendance, Léger Décontracté Chemise Décontracté Urbain</t>
  </si>
  <si>
    <t>Chemise Blanche Homme Note de Musique Manches Longues Boutonnage</t>
  </si>
  <si>
    <t>Poche Appliquée Col Revers Fixation Bureau Affaires Léger Coton Tricoté Chemise Sportif Athlétique Actif Dynamique</t>
  </si>
  <si>
    <t>Chemise Homme Ete Drapeau Américain Manches Longues Grande Taille</t>
  </si>
  <si>
    <t>Étoiles Rayures Col Revers, Boutonnage Manchons Retroussées, Vacances Fête Léger Chemise Athlétique Actif</t>
  </si>
  <si>
    <t>T-shirt Homme Imprimé Squelette 3D Col Rond Manches Longues</t>
  </si>
  <si>
    <t>Bordure Contrastée Encolure Circulaire Halloween Fête Léger Coton Décontracté Tricoté T-shirt Actif Dynamique</t>
  </si>
  <si>
    <t>Glamour</t>
  </si>
  <si>
    <t>Chemise Medievale Homme Motif Baroque Manches Longues Chevalier</t>
  </si>
  <si>
    <t>Doré Col Revers Boutonnage Carnaval, Médiéval Léger Tricoté, Décontracté Chemise Dynamique Élégant Décontracté</t>
  </si>
  <si>
    <t>Veste Cuisine Homme Col Montant Manches Longues Poche Poitrine</t>
  </si>
  <si>
    <t>Fermeture Oblique Boutons Pochette Torse Porte-Stylo Poignet Cuisinier Travail Léger Veste Élégant Décontracté</t>
  </si>
  <si>
    <t>T-shirt Homme Col V Lacets Croisés Manches Longues Plage</t>
  </si>
  <si>
    <t>Anneau Métallique Corde Insigne Encolure Échancré Vacances Léger Coton Décontracté T-shirt Anti-UV Imperméable</t>
  </si>
  <si>
    <t>Chemise Annee 70 Homme Imprimé Floral Manches Longues Carnaval</t>
  </si>
  <si>
    <t>Vintage Col Pointu Boutonnage Festival Soirée Fin Tricoté Respirant Chemise Imperméable Élastique Extensible</t>
  </si>
  <si>
    <t>T-shirt Homme Coton Gaufré Col Rond Manches Longues Viking</t>
  </si>
  <si>
    <t>Côtes Boussole Nordique Rune Nordique Rétro Fin Relâché T-shirt Élastique Extensible Adaptable Pratique Essentiel</t>
  </si>
  <si>
    <t>Chemise Homme Ete Union Jack Manches Longues Boutonnage</t>
  </si>
  <si>
    <t>Col Revers Fixation Manchons Retroussées Vacances Fête Fin Coton Tricoté Chemise Extensible Adaptable Pratique</t>
  </si>
  <si>
    <t>Chemise a Carreaux Homme Broderie Oktoberfest Manches Longues</t>
  </si>
  <si>
    <t>Damier Col Revers Boutonnage, Bavarois Fête Fin, Tricoté Relâché Chemise Adaptable Pratique Polyvalent Essentiel</t>
  </si>
  <si>
    <t>T-shirt Homme Gaufré Col Rond Manches Longues Érable</t>
  </si>
  <si>
    <t>Électrocardiogramme Feuille d Feuille Dorée Insigne Côtes Sport Fin Décontracté T-shirt Pratique Polyvalent</t>
  </si>
  <si>
    <t>Chemise Lin Homme Unie Manches Longues Ourlet Courbe Plage</t>
  </si>
  <si>
    <t>Coton Col Revers Boutonnage, Manchons Retroussées Vacances, Respirant Léger Chemise Polyvalent Résistant Durable</t>
  </si>
  <si>
    <t>Chemise Homme Ete Rayures Élastique 4 Directions Boutonnage</t>
  </si>
  <si>
    <t>Col Revers Fixation Manches Longues Bureau Affaires Léger Tricoté Décontracté Chemise Résistant Durable Renforcé</t>
  </si>
  <si>
    <t>Chemise Hawaienne Homme Rayures Manches Longues Ourlet Courbe</t>
  </si>
  <si>
    <t>Verticales Col Revers Boutonnage, Vacances Léger Coton, Décontracté Tricoté Chemise Durable Renforcé Coton Doux</t>
  </si>
  <si>
    <t>T-shirt Homme Col Rond Manches Longues Bâtonnet Ample</t>
  </si>
  <si>
    <t>Texte Street Quotidien Encolure Circulaire Léger Coton Tricoté Décontracté Large T-shirt Renforcé Coton Doux</t>
  </si>
  <si>
    <t>T-shirt Oversize Homme Col Rond Manches Longues Viking Rune</t>
  </si>
  <si>
    <t>Côtes Boussole Nordique Symbole Crâne Nordique Street Léger Décontracté T-shirt Coton Doux Fibre Naturelle</t>
  </si>
  <si>
    <t>T-shirt Sport Homme Moulant Col Rond Manches Longues Élastique</t>
  </si>
  <si>
    <t>Haute Élasticité Ligne Décorative Sport Entraînement Respirant Léger Décontracté T-shirt Fibre Naturelle Matière Souple</t>
  </si>
  <si>
    <t>Satin</t>
  </si>
  <si>
    <t>Chemise Disco Homme Paillettes Manches Longues Boutonnage</t>
  </si>
  <si>
    <t>Brillant Métallique Col Revers, Ourlet Courbe Disco Scène, Léger Décontracté Chemise Matière Souple Tissu Tendre</t>
  </si>
  <si>
    <t>Habillée</t>
  </si>
  <si>
    <t>Robe de soirée</t>
  </si>
  <si>
    <t>Chemise de soirée</t>
  </si>
  <si>
    <t>Chemise Blanche Homme Plissé Soufflet Col Montant Nœud Papillon</t>
  </si>
  <si>
    <t>Boutonnage Manches Longues Animateur Chorale Scène Léger Tricoté Décontracté Chemise Tissu Tendre Étoffe Fine</t>
  </si>
  <si>
    <t>Chemise a Carreaux Homme Cintré Manches Longues Boutonnage</t>
  </si>
  <si>
    <t>Damier Col Revers Fixation, Ourlet Courbe Bureau Affaires, Léger Tricoté Chemise Étoffe Fine Texture Confortable</t>
  </si>
  <si>
    <t>Polo Homme Drapeau Américain Manches Longues Boutonnage</t>
  </si>
  <si>
    <t>Col Revers Fixation Poche Fête de l Indépendance Léger Coton Décontracté Polo Texture Confortable Col Couvre-Nuque</t>
  </si>
  <si>
    <t>Vintage</t>
  </si>
  <si>
    <t>Chemise Western Homme Drapeau Américain Manches Longues</t>
  </si>
  <si>
    <t>Délavé Col Revers Boutonnage, Rétro Fête Léger, Tricoté Décontracté Chemise Col Couvre-Nuque Encolure Large</t>
  </si>
  <si>
    <t>Chemise Cowboy Homme Rose Broderie Manches Longues Boutonnage</t>
  </si>
  <si>
    <t>Col Revers Bordure Contrastée Fixation Western Soirée Léger Coton Décontracté Chemise Encolure Large Encolure Dégagée</t>
  </si>
  <si>
    <t>Respirabilité maximale : optez pour un confort actif au quotidien – nos chemises pour homme sont taillées dans un tissu premium qui favorise la circulation de l’air et vous préserve de toute sensation d’étouffement, même par forte chaleur.</t>
  </si>
  <si>
    <t>Ligne tendance mais durable : ce modèle au charme certain conjugue une esthétique moderne et une coupe intemporelle, vous assurant un style à la fois sophistiqué et décontracté, quel que soit le moment de la journée.</t>
  </si>
  <si>
    <t>Polyvalence assurée : rendez-vous à la plage, à un barbecue entre collègues ou simplement pour une soirée cosy à la maison – cette chemise longue en lin s’adapte à vos envies et réinvente votre look casual avec aisance.</t>
  </si>
  <si>
    <t>Mariages stylistiques simplissimes : associez cette pièce unie à un short chic, un chino beige ou un jean brut pour un résultat élégant sans prise de tête, aussi pertinent en journée qu’en soirée.</t>
  </si>
  <si>
    <t>Robustesse et facilité d’entretien : fabriquée avec un souci du détail irréprochable, cette chemise estivale résiste aux lavages répétés en machine tout en gardant sa forme et sa couleur, pour vous accompagner fidèlement pendant de longues années.</t>
  </si>
  <si>
    <t>Aération naturelle : profitez d’une respirabilité incomparable au quotidien – le tissu haut de gamme de nos chemises homme assure une régulation thermique idéale, pour un bien-être permanent du matin au soir.</t>
  </si>
  <si>
    <t>Esthétique classique et actuelle : cette chemise au style indémodable allie l’élégance sobre d’un grand classique et la fraîcheur d’une coupe tendance, ce qui en fait l’alliée parfaite de vos tenues informelles.</t>
  </si>
  <si>
    <t>Usage multiple et sans contrainte : que vous partiez explorer la côte, que vous organisiez un déjeuner en plein air ou que vous préfériez rester tranquillement chez vous, ce modèle en lin à manches longues répond à toutes vos envies de décontraction.</t>
  </si>
  <si>
    <t>Accords rapides et réussis : mariez cette chemise unie avec un short, un pantalon cargo ou un jean pour composer un look soigné en un instant, aussi adapté aux activités diurnes qu’aux rendez-vous nocturnes.</t>
  </si>
  <si>
    <t>Résistance et gain de temps : réalisée avec une qualité de confection exigeante, cette chemise d’été ne se contente pas d’être belle – elle passe sans crainte en machine et reste impeccable après chaque lavage, devenant ainsi un basique fiable de votre garde-robe pour les saisons à venir.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</si>
</sst>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lignment vertical="center"/>
    </xf>
    <xf numFmtId="44" fontId="1" fillId="0" borderId="0">
      <alignment vertical="center"/>
    </xf>
    <xf numFmtId="9" fontId="1" fillId="0" borderId="0">
      <alignment vertical="center"/>
    </xf>
    <xf numFmtId="41" fontId="1" fillId="0" borderId="0">
      <alignment vertical="center"/>
    </xf>
    <xf numFmtId="42" fontId="1" fillId="0" borderId="0">
      <alignment vertical="center"/>
    </xf>
    <xf numFmtId="0" fontId="2" fillId="0" borderId="0">
      <alignment vertical="center"/>
    </xf>
    <xf numFmtId="0" fontId="3" fillId="0" borderId="0">
      <alignment vertical="center"/>
    </xf>
    <xf numFmtId="0" fontId="1"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5">
    <xf numFmtId="0" fontId="0" fillId="0" borderId="0" xfId="0" applyAlignment="1">
      <alignment vertical="center"/>
    </xf>
    <xf numFmtId="0" fontId="0" fillId="0" borderId="0" xfId="0" applyFont="1" applyFill="1" applyAlignment="1">
      <alignment vertical="center"/>
    </xf>
    <xf numFmtId="0" fontId="0" fillId="0" borderId="0" xfId="0" applyAlignment="1"/>
    <xf numFmtId="0" fontId="0" fillId="2" borderId="0" xfId="0" applyFill="1" applyAlignment="1">
      <alignment horizontal="lef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00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0</xdr:row>
      <xdr:rowOff>0</xdr:rowOff>
    </xdr:from>
    <xdr:to>
      <xdr:col>7</xdr:col>
      <xdr:colOff>645777</xdr:colOff>
      <xdr:row>0</xdr:row>
      <xdr:rowOff>571725</xdr:rowOff>
    </xdr:to>
    <xdr:pic>
      <xdr:nvPicPr>
        <xdr:cNvPr id="2" name="Image 1" descr="Picture"/>
        <xdr:cNvPicPr/>
      </xdr:nvPicPr>
      <xdr:blipFill>
        <a:blip r:embed="rId1" cstate="print"/>
        <a:stretch>
          <a:fillRect/>
        </a:stretch>
      </xdr:blipFill>
      <xdr:spPr>
        <a:xfrm>
          <a:off x="13296900" y="0"/>
          <a:ext cx="645160" cy="571500"/>
        </a:xfrm>
        <a:prstGeom prst="rect">
          <a:avLst/>
        </a:prstGeom>
        <a:ln>
          <a:prstDash val="solid"/>
        </a:ln>
      </xdr:spPr>
    </xdr:pic>
    <xdr:clientData/>
  </xdr:twoCellAnchor>
  <xdr:twoCellAnchor>
    <xdr:from>
      <xdr:col>25</xdr:col>
      <xdr:colOff>0</xdr:colOff>
      <xdr:row>0</xdr:row>
      <xdr:rowOff>0</xdr:rowOff>
    </xdr:from>
    <xdr:to>
      <xdr:col>25</xdr:col>
      <xdr:colOff>645777</xdr:colOff>
      <xdr:row>0</xdr:row>
      <xdr:rowOff>571725</xdr:rowOff>
    </xdr:to>
    <xdr:pic>
      <xdr:nvPicPr>
        <xdr:cNvPr id="3" name="Image 2" descr="Picture"/>
        <xdr:cNvPicPr/>
      </xdr:nvPicPr>
      <xdr:blipFill>
        <a:blip r:embed="rId1" cstate="print"/>
        <a:stretch>
          <a:fillRect/>
        </a:stretch>
      </xdr:blipFill>
      <xdr:spPr>
        <a:xfrm>
          <a:off x="26108660" y="0"/>
          <a:ext cx="645160" cy="571500"/>
        </a:xfrm>
        <a:prstGeom prst="rect">
          <a:avLst/>
        </a:prstGeom>
        <a:ln>
          <a:prstDash val="solid"/>
        </a:ln>
      </xdr:spPr>
    </xdr:pic>
    <xdr:clientData/>
  </xdr:twoCellAnchor>
  <xdr:twoCellAnchor>
    <xdr:from>
      <xdr:col>27</xdr:col>
      <xdr:colOff>0</xdr:colOff>
      <xdr:row>0</xdr:row>
      <xdr:rowOff>0</xdr:rowOff>
    </xdr:from>
    <xdr:to>
      <xdr:col>27</xdr:col>
      <xdr:colOff>645777</xdr:colOff>
      <xdr:row>0</xdr:row>
      <xdr:rowOff>571725</xdr:rowOff>
    </xdr:to>
    <xdr:pic>
      <xdr:nvPicPr>
        <xdr:cNvPr id="4" name="Image 3" descr="Picture"/>
        <xdr:cNvPicPr/>
      </xdr:nvPicPr>
      <xdr:blipFill>
        <a:blip r:embed="rId2" cstate="print"/>
        <a:stretch>
          <a:fillRect/>
        </a:stretch>
      </xdr:blipFill>
      <xdr:spPr>
        <a:xfrm>
          <a:off x="27538680" y="0"/>
          <a:ext cx="645160" cy="571500"/>
        </a:xfrm>
        <a:prstGeom prst="rect">
          <a:avLst/>
        </a:prstGeom>
        <a:ln>
          <a:prstDash val="solid"/>
        </a:ln>
      </xdr:spPr>
    </xdr:pic>
    <xdr:clientData/>
  </xdr:twoCellAnchor>
  <xdr:twoCellAnchor>
    <xdr:from>
      <xdr:col>29</xdr:col>
      <xdr:colOff>0</xdr:colOff>
      <xdr:row>0</xdr:row>
      <xdr:rowOff>0</xdr:rowOff>
    </xdr:from>
    <xdr:to>
      <xdr:col>29</xdr:col>
      <xdr:colOff>645777</xdr:colOff>
      <xdr:row>0</xdr:row>
      <xdr:rowOff>571725</xdr:rowOff>
    </xdr:to>
    <xdr:pic>
      <xdr:nvPicPr>
        <xdr:cNvPr id="5" name="Image 4" descr="Picture"/>
        <xdr:cNvPicPr/>
      </xdr:nvPicPr>
      <xdr:blipFill>
        <a:blip r:embed="rId3" cstate="print"/>
        <a:stretch>
          <a:fillRect/>
        </a:stretch>
      </xdr:blipFill>
      <xdr:spPr>
        <a:xfrm>
          <a:off x="28910280" y="0"/>
          <a:ext cx="645160" cy="571500"/>
        </a:xfrm>
        <a:prstGeom prst="rect">
          <a:avLst/>
        </a:prstGeom>
        <a:ln>
          <a:prstDash val="solid"/>
        </a:ln>
      </xdr:spPr>
    </xdr:pic>
    <xdr:clientData/>
  </xdr:twoCellAnchor>
  <xdr:twoCellAnchor>
    <xdr:from>
      <xdr:col>31</xdr:col>
      <xdr:colOff>0</xdr:colOff>
      <xdr:row>0</xdr:row>
      <xdr:rowOff>0</xdr:rowOff>
    </xdr:from>
    <xdr:to>
      <xdr:col>31</xdr:col>
      <xdr:colOff>645777</xdr:colOff>
      <xdr:row>0</xdr:row>
      <xdr:rowOff>571725</xdr:rowOff>
    </xdr:to>
    <xdr:pic>
      <xdr:nvPicPr>
        <xdr:cNvPr id="6" name="Image 5" descr="Picture"/>
        <xdr:cNvPicPr/>
      </xdr:nvPicPr>
      <xdr:blipFill>
        <a:blip r:embed="rId4" cstate="print"/>
        <a:stretch>
          <a:fillRect/>
        </a:stretch>
      </xdr:blipFill>
      <xdr:spPr>
        <a:xfrm>
          <a:off x="30281880" y="0"/>
          <a:ext cx="645160" cy="571500"/>
        </a:xfrm>
        <a:prstGeom prst="rect">
          <a:avLst/>
        </a:prstGeom>
        <a:ln>
          <a:prstDash val="solid"/>
        </a:ln>
      </xdr:spPr>
    </xdr:pic>
    <xdr:clientData/>
  </xdr:twoCellAnchor>
  <xdr:twoCellAnchor>
    <xdr:from>
      <xdr:col>33</xdr:col>
      <xdr:colOff>0</xdr:colOff>
      <xdr:row>0</xdr:row>
      <xdr:rowOff>0</xdr:rowOff>
    </xdr:from>
    <xdr:to>
      <xdr:col>33</xdr:col>
      <xdr:colOff>645777</xdr:colOff>
      <xdr:row>0</xdr:row>
      <xdr:rowOff>571725</xdr:rowOff>
    </xdr:to>
    <xdr:pic>
      <xdr:nvPicPr>
        <xdr:cNvPr id="7" name="Image 6" descr="Picture"/>
        <xdr:cNvPicPr/>
      </xdr:nvPicPr>
      <xdr:blipFill>
        <a:blip r:embed="rId5" cstate="print"/>
        <a:stretch>
          <a:fillRect/>
        </a:stretch>
      </xdr:blipFill>
      <xdr:spPr>
        <a:xfrm>
          <a:off x="31653480" y="0"/>
          <a:ext cx="645160" cy="571500"/>
        </a:xfrm>
        <a:prstGeom prst="rect">
          <a:avLst/>
        </a:prstGeom>
        <a:ln>
          <a:prstDash val="solid"/>
        </a:ln>
      </xdr:spPr>
    </xdr:pic>
    <xdr:clientData/>
  </xdr:twoCellAnchor>
  <xdr:twoCellAnchor>
    <xdr:from>
      <xdr:col>35</xdr:col>
      <xdr:colOff>0</xdr:colOff>
      <xdr:row>0</xdr:row>
      <xdr:rowOff>0</xdr:rowOff>
    </xdr:from>
    <xdr:to>
      <xdr:col>35</xdr:col>
      <xdr:colOff>645777</xdr:colOff>
      <xdr:row>0</xdr:row>
      <xdr:rowOff>571725</xdr:rowOff>
    </xdr:to>
    <xdr:pic>
      <xdr:nvPicPr>
        <xdr:cNvPr id="8" name="Image 7" descr="Picture"/>
        <xdr:cNvPicPr/>
      </xdr:nvPicPr>
      <xdr:blipFill>
        <a:blip r:embed="rId6" cstate="print"/>
        <a:stretch>
          <a:fillRect/>
        </a:stretch>
      </xdr:blipFill>
      <xdr:spPr>
        <a:xfrm>
          <a:off x="33025080" y="0"/>
          <a:ext cx="645160" cy="571500"/>
        </a:xfrm>
        <a:prstGeom prst="rect">
          <a:avLst/>
        </a:prstGeom>
        <a:ln>
          <a:prstDash val="solid"/>
        </a:ln>
      </xdr:spPr>
    </xdr:pic>
    <xdr:clientData/>
  </xdr:twoCellAnchor>
  <xdr:twoCellAnchor>
    <xdr:from>
      <xdr:col>37</xdr:col>
      <xdr:colOff>0</xdr:colOff>
      <xdr:row>0</xdr:row>
      <xdr:rowOff>0</xdr:rowOff>
    </xdr:from>
    <xdr:to>
      <xdr:col>37</xdr:col>
      <xdr:colOff>645777</xdr:colOff>
      <xdr:row>0</xdr:row>
      <xdr:rowOff>571725</xdr:rowOff>
    </xdr:to>
    <xdr:pic>
      <xdr:nvPicPr>
        <xdr:cNvPr id="9" name="Image 8" descr="Picture"/>
        <xdr:cNvPicPr/>
      </xdr:nvPicPr>
      <xdr:blipFill>
        <a:blip r:embed="rId7" cstate="print"/>
        <a:stretch>
          <a:fillRect/>
        </a:stretch>
      </xdr:blipFill>
      <xdr:spPr>
        <a:xfrm>
          <a:off x="34396680" y="0"/>
          <a:ext cx="645160" cy="571500"/>
        </a:xfrm>
        <a:prstGeom prst="rect">
          <a:avLst/>
        </a:prstGeom>
        <a:ln>
          <a:prstDash val="solid"/>
        </a:ln>
      </xdr:spPr>
    </xdr:pic>
    <xdr:clientData/>
  </xdr:twoCellAnchor>
  <xdr:twoCellAnchor>
    <xdr:from>
      <xdr:col>39</xdr:col>
      <xdr:colOff>0</xdr:colOff>
      <xdr:row>0</xdr:row>
      <xdr:rowOff>0</xdr:rowOff>
    </xdr:from>
    <xdr:to>
      <xdr:col>39</xdr:col>
      <xdr:colOff>645777</xdr:colOff>
      <xdr:row>0</xdr:row>
      <xdr:rowOff>571725</xdr:rowOff>
    </xdr:to>
    <xdr:pic>
      <xdr:nvPicPr>
        <xdr:cNvPr id="10" name="Image 9" descr="Picture"/>
        <xdr:cNvPicPr/>
      </xdr:nvPicPr>
      <xdr:blipFill>
        <a:blip r:embed="rId8" cstate="print"/>
        <a:stretch>
          <a:fillRect/>
        </a:stretch>
      </xdr:blipFill>
      <xdr:spPr>
        <a:xfrm>
          <a:off x="35768280" y="0"/>
          <a:ext cx="645160" cy="571500"/>
        </a:xfrm>
        <a:prstGeom prst="rect">
          <a:avLst/>
        </a:prstGeom>
        <a:ln>
          <a:prstDash val="solid"/>
        </a:ln>
      </xdr:spPr>
    </xdr:pic>
    <xdr:clientData/>
  </xdr:twoCellAnchor>
  <xdr:twoCellAnchor>
    <xdr:from>
      <xdr:col>41</xdr:col>
      <xdr:colOff>0</xdr:colOff>
      <xdr:row>0</xdr:row>
      <xdr:rowOff>0</xdr:rowOff>
    </xdr:from>
    <xdr:to>
      <xdr:col>41</xdr:col>
      <xdr:colOff>645777</xdr:colOff>
      <xdr:row>0</xdr:row>
      <xdr:rowOff>571725</xdr:rowOff>
    </xdr:to>
    <xdr:pic>
      <xdr:nvPicPr>
        <xdr:cNvPr id="11" name="Image 10" descr="Picture"/>
        <xdr:cNvPicPr/>
      </xdr:nvPicPr>
      <xdr:blipFill>
        <a:blip r:embed="rId9" cstate="print"/>
        <a:stretch>
          <a:fillRect/>
        </a:stretch>
      </xdr:blipFill>
      <xdr:spPr>
        <a:xfrm>
          <a:off x="37139880" y="0"/>
          <a:ext cx="645160" cy="571500"/>
        </a:xfrm>
        <a:prstGeom prst="rect">
          <a:avLst/>
        </a:prstGeom>
        <a:ln>
          <a:prstDash val="solid"/>
        </a:ln>
      </xdr:spPr>
    </xdr:pic>
    <xdr:clientData/>
  </xdr:twoCellAnchor>
  <xdr:twoCellAnchor>
    <xdr:from>
      <xdr:col>7</xdr:col>
      <xdr:colOff>0</xdr:colOff>
      <xdr:row>1</xdr:row>
      <xdr:rowOff>0</xdr:rowOff>
    </xdr:from>
    <xdr:to>
      <xdr:col>7</xdr:col>
      <xdr:colOff>645777</xdr:colOff>
      <xdr:row>1</xdr:row>
      <xdr:rowOff>571725</xdr:rowOff>
    </xdr:to>
    <xdr:pic>
      <xdr:nvPicPr>
        <xdr:cNvPr id="12" name="Image 11" descr="Picture"/>
        <xdr:cNvPicPr/>
      </xdr:nvPicPr>
      <xdr:blipFill>
        <a:blip r:embed="rId10" cstate="print"/>
        <a:stretch>
          <a:fillRect/>
        </a:stretch>
      </xdr:blipFill>
      <xdr:spPr>
        <a:xfrm>
          <a:off x="13296900" y="635000"/>
          <a:ext cx="645160" cy="0"/>
        </a:xfrm>
        <a:prstGeom prst="rect">
          <a:avLst/>
        </a:prstGeom>
        <a:ln>
          <a:prstDash val="solid"/>
        </a:ln>
      </xdr:spPr>
    </xdr:pic>
    <xdr:clientData/>
  </xdr:twoCellAnchor>
  <xdr:twoCellAnchor>
    <xdr:from>
      <xdr:col>25</xdr:col>
      <xdr:colOff>0</xdr:colOff>
      <xdr:row>1</xdr:row>
      <xdr:rowOff>0</xdr:rowOff>
    </xdr:from>
    <xdr:to>
      <xdr:col>25</xdr:col>
      <xdr:colOff>645777</xdr:colOff>
      <xdr:row>1</xdr:row>
      <xdr:rowOff>571725</xdr:rowOff>
    </xdr:to>
    <xdr:pic>
      <xdr:nvPicPr>
        <xdr:cNvPr id="13" name="Image 12" descr="Picture"/>
        <xdr:cNvPicPr/>
      </xdr:nvPicPr>
      <xdr:blipFill>
        <a:blip r:embed="rId11" cstate="print"/>
        <a:stretch>
          <a:fillRect/>
        </a:stretch>
      </xdr:blipFill>
      <xdr:spPr>
        <a:xfrm>
          <a:off x="26108660" y="635000"/>
          <a:ext cx="645160" cy="0"/>
        </a:xfrm>
        <a:prstGeom prst="rect">
          <a:avLst/>
        </a:prstGeom>
        <a:ln>
          <a:prstDash val="solid"/>
        </a:ln>
      </xdr:spPr>
    </xdr:pic>
    <xdr:clientData/>
  </xdr:twoCellAnchor>
  <xdr:twoCellAnchor>
    <xdr:from>
      <xdr:col>27</xdr:col>
      <xdr:colOff>0</xdr:colOff>
      <xdr:row>1</xdr:row>
      <xdr:rowOff>0</xdr:rowOff>
    </xdr:from>
    <xdr:to>
      <xdr:col>27</xdr:col>
      <xdr:colOff>645777</xdr:colOff>
      <xdr:row>1</xdr:row>
      <xdr:rowOff>571725</xdr:rowOff>
    </xdr:to>
    <xdr:pic>
      <xdr:nvPicPr>
        <xdr:cNvPr id="14" name="Image 13" descr="Picture"/>
        <xdr:cNvPicPr/>
      </xdr:nvPicPr>
      <xdr:blipFill>
        <a:blip r:embed="rId10" cstate="print"/>
        <a:stretch>
          <a:fillRect/>
        </a:stretch>
      </xdr:blipFill>
      <xdr:spPr>
        <a:xfrm>
          <a:off x="27538680" y="635000"/>
          <a:ext cx="645160" cy="0"/>
        </a:xfrm>
        <a:prstGeom prst="rect">
          <a:avLst/>
        </a:prstGeom>
        <a:ln>
          <a:prstDash val="solid"/>
        </a:ln>
      </xdr:spPr>
    </xdr:pic>
    <xdr:clientData/>
  </xdr:twoCellAnchor>
  <xdr:twoCellAnchor>
    <xdr:from>
      <xdr:col>29</xdr:col>
      <xdr:colOff>0</xdr:colOff>
      <xdr:row>1</xdr:row>
      <xdr:rowOff>0</xdr:rowOff>
    </xdr:from>
    <xdr:to>
      <xdr:col>29</xdr:col>
      <xdr:colOff>645777</xdr:colOff>
      <xdr:row>1</xdr:row>
      <xdr:rowOff>571725</xdr:rowOff>
    </xdr:to>
    <xdr:pic>
      <xdr:nvPicPr>
        <xdr:cNvPr id="15" name="Image 14" descr="Picture"/>
        <xdr:cNvPicPr/>
      </xdr:nvPicPr>
      <xdr:blipFill>
        <a:blip r:embed="rId2" cstate="print"/>
        <a:stretch>
          <a:fillRect/>
        </a:stretch>
      </xdr:blipFill>
      <xdr:spPr>
        <a:xfrm>
          <a:off x="28910280" y="635000"/>
          <a:ext cx="645160" cy="0"/>
        </a:xfrm>
        <a:prstGeom prst="rect">
          <a:avLst/>
        </a:prstGeom>
        <a:ln>
          <a:prstDash val="solid"/>
        </a:ln>
      </xdr:spPr>
    </xdr:pic>
    <xdr:clientData/>
  </xdr:twoCellAnchor>
  <xdr:twoCellAnchor>
    <xdr:from>
      <xdr:col>31</xdr:col>
      <xdr:colOff>0</xdr:colOff>
      <xdr:row>1</xdr:row>
      <xdr:rowOff>0</xdr:rowOff>
    </xdr:from>
    <xdr:to>
      <xdr:col>31</xdr:col>
      <xdr:colOff>645777</xdr:colOff>
      <xdr:row>1</xdr:row>
      <xdr:rowOff>571725</xdr:rowOff>
    </xdr:to>
    <xdr:pic>
      <xdr:nvPicPr>
        <xdr:cNvPr id="16" name="Image 15" descr="Picture"/>
        <xdr:cNvPicPr/>
      </xdr:nvPicPr>
      <xdr:blipFill>
        <a:blip r:embed="rId5" cstate="print"/>
        <a:stretch>
          <a:fillRect/>
        </a:stretch>
      </xdr:blipFill>
      <xdr:spPr>
        <a:xfrm>
          <a:off x="30281880" y="635000"/>
          <a:ext cx="645160" cy="0"/>
        </a:xfrm>
        <a:prstGeom prst="rect">
          <a:avLst/>
        </a:prstGeom>
        <a:ln>
          <a:prstDash val="solid"/>
        </a:ln>
      </xdr:spPr>
    </xdr:pic>
    <xdr:clientData/>
  </xdr:twoCellAnchor>
  <xdr:twoCellAnchor>
    <xdr:from>
      <xdr:col>7</xdr:col>
      <xdr:colOff>0</xdr:colOff>
      <xdr:row>7</xdr:row>
      <xdr:rowOff>0</xdr:rowOff>
    </xdr:from>
    <xdr:to>
      <xdr:col>7</xdr:col>
      <xdr:colOff>645777</xdr:colOff>
      <xdr:row>7</xdr:row>
      <xdr:rowOff>571725</xdr:rowOff>
    </xdr:to>
    <xdr:pic>
      <xdr:nvPicPr>
        <xdr:cNvPr id="22" name="Image 21" descr="Picture"/>
        <xdr:cNvPicPr/>
      </xdr:nvPicPr>
      <xdr:blipFill>
        <a:blip r:embed="rId12" cstate="print"/>
        <a:stretch>
          <a:fillRect/>
        </a:stretch>
      </xdr:blipFill>
      <xdr:spPr>
        <a:xfrm>
          <a:off x="13296900" y="635000"/>
          <a:ext cx="645160" cy="0"/>
        </a:xfrm>
        <a:prstGeom prst="rect">
          <a:avLst/>
        </a:prstGeom>
        <a:ln>
          <a:prstDash val="solid"/>
        </a:ln>
      </xdr:spPr>
    </xdr:pic>
    <xdr:clientData/>
  </xdr:twoCellAnchor>
  <xdr:twoCellAnchor>
    <xdr:from>
      <xdr:col>25</xdr:col>
      <xdr:colOff>0</xdr:colOff>
      <xdr:row>7</xdr:row>
      <xdr:rowOff>0</xdr:rowOff>
    </xdr:from>
    <xdr:to>
      <xdr:col>25</xdr:col>
      <xdr:colOff>645777</xdr:colOff>
      <xdr:row>7</xdr:row>
      <xdr:rowOff>571725</xdr:rowOff>
    </xdr:to>
    <xdr:pic>
      <xdr:nvPicPr>
        <xdr:cNvPr id="23" name="Image 22" descr="Picture"/>
        <xdr:cNvPicPr/>
      </xdr:nvPicPr>
      <xdr:blipFill>
        <a:blip r:embed="rId13" cstate="print"/>
        <a:stretch>
          <a:fillRect/>
        </a:stretch>
      </xdr:blipFill>
      <xdr:spPr>
        <a:xfrm>
          <a:off x="26108660" y="635000"/>
          <a:ext cx="645160" cy="0"/>
        </a:xfrm>
        <a:prstGeom prst="rect">
          <a:avLst/>
        </a:prstGeom>
        <a:ln>
          <a:prstDash val="solid"/>
        </a:ln>
      </xdr:spPr>
    </xdr:pic>
    <xdr:clientData/>
  </xdr:twoCellAnchor>
  <xdr:twoCellAnchor>
    <xdr:from>
      <xdr:col>27</xdr:col>
      <xdr:colOff>0</xdr:colOff>
      <xdr:row>7</xdr:row>
      <xdr:rowOff>0</xdr:rowOff>
    </xdr:from>
    <xdr:to>
      <xdr:col>27</xdr:col>
      <xdr:colOff>645777</xdr:colOff>
      <xdr:row>7</xdr:row>
      <xdr:rowOff>571725</xdr:rowOff>
    </xdr:to>
    <xdr:pic>
      <xdr:nvPicPr>
        <xdr:cNvPr id="24" name="Image 23" descr="Picture"/>
        <xdr:cNvPicPr/>
      </xdr:nvPicPr>
      <xdr:blipFill>
        <a:blip r:embed="rId12" cstate="print"/>
        <a:stretch>
          <a:fillRect/>
        </a:stretch>
      </xdr:blipFill>
      <xdr:spPr>
        <a:xfrm>
          <a:off x="27538680" y="635000"/>
          <a:ext cx="645160" cy="0"/>
        </a:xfrm>
        <a:prstGeom prst="rect">
          <a:avLst/>
        </a:prstGeom>
        <a:ln>
          <a:prstDash val="solid"/>
        </a:ln>
      </xdr:spPr>
    </xdr:pic>
    <xdr:clientData/>
  </xdr:twoCellAnchor>
  <xdr:twoCellAnchor>
    <xdr:from>
      <xdr:col>31</xdr:col>
      <xdr:colOff>0</xdr:colOff>
      <xdr:row>7</xdr:row>
      <xdr:rowOff>0</xdr:rowOff>
    </xdr:from>
    <xdr:to>
      <xdr:col>31</xdr:col>
      <xdr:colOff>645777</xdr:colOff>
      <xdr:row>7</xdr:row>
      <xdr:rowOff>571725</xdr:rowOff>
    </xdr:to>
    <xdr:pic>
      <xdr:nvPicPr>
        <xdr:cNvPr id="26" name="Image 25" descr="Picture"/>
        <xdr:cNvPicPr/>
      </xdr:nvPicPr>
      <xdr:blipFill>
        <a:blip r:embed="rId14" cstate="print"/>
        <a:stretch>
          <a:fillRect/>
        </a:stretch>
      </xdr:blipFill>
      <xdr:spPr>
        <a:xfrm>
          <a:off x="30281880" y="635000"/>
          <a:ext cx="645160" cy="0"/>
        </a:xfrm>
        <a:prstGeom prst="rect">
          <a:avLst/>
        </a:prstGeom>
        <a:ln>
          <a:prstDash val="solid"/>
        </a:ln>
      </xdr:spPr>
    </xdr:pic>
    <xdr:clientData/>
  </xdr:twoCellAnchor>
  <xdr:twoCellAnchor>
    <xdr:from>
      <xdr:col>7</xdr:col>
      <xdr:colOff>0</xdr:colOff>
      <xdr:row>13</xdr:row>
      <xdr:rowOff>0</xdr:rowOff>
    </xdr:from>
    <xdr:to>
      <xdr:col>7</xdr:col>
      <xdr:colOff>645777</xdr:colOff>
      <xdr:row>13</xdr:row>
      <xdr:rowOff>571725</xdr:rowOff>
    </xdr:to>
    <xdr:pic>
      <xdr:nvPicPr>
        <xdr:cNvPr id="32" name="Image 31" descr="Picture"/>
        <xdr:cNvPicPr/>
      </xdr:nvPicPr>
      <xdr:blipFill>
        <a:blip r:embed="rId15" cstate="print"/>
        <a:stretch>
          <a:fillRect/>
        </a:stretch>
      </xdr:blipFill>
      <xdr:spPr>
        <a:xfrm>
          <a:off x="13296900" y="635000"/>
          <a:ext cx="645160" cy="0"/>
        </a:xfrm>
        <a:prstGeom prst="rect">
          <a:avLst/>
        </a:prstGeom>
        <a:ln>
          <a:prstDash val="solid"/>
        </a:ln>
      </xdr:spPr>
    </xdr:pic>
    <xdr:clientData/>
  </xdr:twoCellAnchor>
  <xdr:twoCellAnchor>
    <xdr:from>
      <xdr:col>25</xdr:col>
      <xdr:colOff>0</xdr:colOff>
      <xdr:row>13</xdr:row>
      <xdr:rowOff>0</xdr:rowOff>
    </xdr:from>
    <xdr:to>
      <xdr:col>25</xdr:col>
      <xdr:colOff>645777</xdr:colOff>
      <xdr:row>13</xdr:row>
      <xdr:rowOff>571725</xdr:rowOff>
    </xdr:to>
    <xdr:pic>
      <xdr:nvPicPr>
        <xdr:cNvPr id="33" name="Image 32" descr="Picture"/>
        <xdr:cNvPicPr/>
      </xdr:nvPicPr>
      <xdr:blipFill>
        <a:blip r:embed="rId16" cstate="print"/>
        <a:stretch>
          <a:fillRect/>
        </a:stretch>
      </xdr:blipFill>
      <xdr:spPr>
        <a:xfrm>
          <a:off x="26108660" y="635000"/>
          <a:ext cx="645160" cy="0"/>
        </a:xfrm>
        <a:prstGeom prst="rect">
          <a:avLst/>
        </a:prstGeom>
        <a:ln>
          <a:prstDash val="solid"/>
        </a:ln>
      </xdr:spPr>
    </xdr:pic>
    <xdr:clientData/>
  </xdr:twoCellAnchor>
  <xdr:twoCellAnchor>
    <xdr:from>
      <xdr:col>27</xdr:col>
      <xdr:colOff>0</xdr:colOff>
      <xdr:row>13</xdr:row>
      <xdr:rowOff>0</xdr:rowOff>
    </xdr:from>
    <xdr:to>
      <xdr:col>27</xdr:col>
      <xdr:colOff>645777</xdr:colOff>
      <xdr:row>13</xdr:row>
      <xdr:rowOff>571725</xdr:rowOff>
    </xdr:to>
    <xdr:pic>
      <xdr:nvPicPr>
        <xdr:cNvPr id="34" name="Image 33" descr="Picture"/>
        <xdr:cNvPicPr/>
      </xdr:nvPicPr>
      <xdr:blipFill>
        <a:blip r:embed="rId15" cstate="print"/>
        <a:stretch>
          <a:fillRect/>
        </a:stretch>
      </xdr:blipFill>
      <xdr:spPr>
        <a:xfrm>
          <a:off x="27538680" y="635000"/>
          <a:ext cx="645160" cy="0"/>
        </a:xfrm>
        <a:prstGeom prst="rect">
          <a:avLst/>
        </a:prstGeom>
        <a:ln>
          <a:prstDash val="solid"/>
        </a:ln>
      </xdr:spPr>
    </xdr:pic>
    <xdr:clientData/>
  </xdr:twoCellAnchor>
  <xdr:twoCellAnchor>
    <xdr:from>
      <xdr:col>31</xdr:col>
      <xdr:colOff>0</xdr:colOff>
      <xdr:row>13</xdr:row>
      <xdr:rowOff>0</xdr:rowOff>
    </xdr:from>
    <xdr:to>
      <xdr:col>31</xdr:col>
      <xdr:colOff>645777</xdr:colOff>
      <xdr:row>13</xdr:row>
      <xdr:rowOff>571725</xdr:rowOff>
    </xdr:to>
    <xdr:pic>
      <xdr:nvPicPr>
        <xdr:cNvPr id="36" name="Image 35" descr="Picture"/>
        <xdr:cNvPicPr/>
      </xdr:nvPicPr>
      <xdr:blipFill>
        <a:blip r:embed="rId4" cstate="print"/>
        <a:stretch>
          <a:fillRect/>
        </a:stretch>
      </xdr:blipFill>
      <xdr:spPr>
        <a:xfrm>
          <a:off x="30281880" y="635000"/>
          <a:ext cx="645160" cy="0"/>
        </a:xfrm>
        <a:prstGeom prst="rect">
          <a:avLst/>
        </a:prstGeom>
        <a:ln>
          <a:prstDash val="solid"/>
        </a:ln>
      </xdr:spPr>
    </xdr:pic>
    <xdr:clientData/>
  </xdr:twoCellAnchor>
  <xdr:twoCellAnchor>
    <xdr:from>
      <xdr:col>33</xdr:col>
      <xdr:colOff>0</xdr:colOff>
      <xdr:row>13</xdr:row>
      <xdr:rowOff>0</xdr:rowOff>
    </xdr:from>
    <xdr:to>
      <xdr:col>33</xdr:col>
      <xdr:colOff>645777</xdr:colOff>
      <xdr:row>13</xdr:row>
      <xdr:rowOff>571725</xdr:rowOff>
    </xdr:to>
    <xdr:pic>
      <xdr:nvPicPr>
        <xdr:cNvPr id="37" name="Image 36" descr="Picture"/>
        <xdr:cNvPicPr/>
      </xdr:nvPicPr>
      <xdr:blipFill>
        <a:blip r:embed="rId17" cstate="print"/>
        <a:stretch>
          <a:fillRect/>
        </a:stretch>
      </xdr:blipFill>
      <xdr:spPr>
        <a:xfrm>
          <a:off x="31653480" y="635000"/>
          <a:ext cx="645160" cy="0"/>
        </a:xfrm>
        <a:prstGeom prst="rect">
          <a:avLst/>
        </a:prstGeom>
        <a:ln>
          <a:prstDash val="solid"/>
        </a:ln>
      </xdr:spPr>
    </xdr:pic>
    <xdr:clientData/>
  </xdr:twoCellAnchor>
  <xdr:twoCellAnchor>
    <xdr:from>
      <xdr:col>35</xdr:col>
      <xdr:colOff>0</xdr:colOff>
      <xdr:row>13</xdr:row>
      <xdr:rowOff>0</xdr:rowOff>
    </xdr:from>
    <xdr:to>
      <xdr:col>35</xdr:col>
      <xdr:colOff>645777</xdr:colOff>
      <xdr:row>13</xdr:row>
      <xdr:rowOff>571725</xdr:rowOff>
    </xdr:to>
    <xdr:pic>
      <xdr:nvPicPr>
        <xdr:cNvPr id="38" name="Image 37" descr="Picture"/>
        <xdr:cNvPicPr/>
      </xdr:nvPicPr>
      <xdr:blipFill>
        <a:blip r:embed="rId6" cstate="print"/>
        <a:stretch>
          <a:fillRect/>
        </a:stretch>
      </xdr:blipFill>
      <xdr:spPr>
        <a:xfrm>
          <a:off x="33025080" y="635000"/>
          <a:ext cx="645160" cy="0"/>
        </a:xfrm>
        <a:prstGeom prst="rect">
          <a:avLst/>
        </a:prstGeom>
        <a:ln>
          <a:prstDash val="solid"/>
        </a:ln>
      </xdr:spPr>
    </xdr:pic>
    <xdr:clientData/>
  </xdr:twoCellAnchor>
  <xdr:twoCellAnchor>
    <xdr:from>
      <xdr:col>37</xdr:col>
      <xdr:colOff>0</xdr:colOff>
      <xdr:row>13</xdr:row>
      <xdr:rowOff>0</xdr:rowOff>
    </xdr:from>
    <xdr:to>
      <xdr:col>37</xdr:col>
      <xdr:colOff>645777</xdr:colOff>
      <xdr:row>13</xdr:row>
      <xdr:rowOff>571725</xdr:rowOff>
    </xdr:to>
    <xdr:pic>
      <xdr:nvPicPr>
        <xdr:cNvPr id="39" name="Image 38" descr="Picture"/>
        <xdr:cNvPicPr/>
      </xdr:nvPicPr>
      <xdr:blipFill>
        <a:blip r:embed="rId18" cstate="print"/>
        <a:stretch>
          <a:fillRect/>
        </a:stretch>
      </xdr:blipFill>
      <xdr:spPr>
        <a:xfrm>
          <a:off x="34396680" y="635000"/>
          <a:ext cx="645160" cy="0"/>
        </a:xfrm>
        <a:prstGeom prst="rect">
          <a:avLst/>
        </a:prstGeom>
        <a:ln>
          <a:prstDash val="solid"/>
        </a:ln>
      </xdr:spPr>
    </xdr:pic>
    <xdr:clientData/>
  </xdr:twoCellAnchor>
  <xdr:twoCellAnchor>
    <xdr:from>
      <xdr:col>39</xdr:col>
      <xdr:colOff>0</xdr:colOff>
      <xdr:row>13</xdr:row>
      <xdr:rowOff>0</xdr:rowOff>
    </xdr:from>
    <xdr:to>
      <xdr:col>39</xdr:col>
      <xdr:colOff>645777</xdr:colOff>
      <xdr:row>13</xdr:row>
      <xdr:rowOff>571725</xdr:rowOff>
    </xdr:to>
    <xdr:pic>
      <xdr:nvPicPr>
        <xdr:cNvPr id="40" name="Image 39" descr="Picture"/>
        <xdr:cNvPicPr/>
      </xdr:nvPicPr>
      <xdr:blipFill>
        <a:blip r:embed="rId3" cstate="print"/>
        <a:stretch>
          <a:fillRect/>
        </a:stretch>
      </xdr:blipFill>
      <xdr:spPr>
        <a:xfrm>
          <a:off x="35768280" y="635000"/>
          <a:ext cx="645160" cy="0"/>
        </a:xfrm>
        <a:prstGeom prst="rect">
          <a:avLst/>
        </a:prstGeom>
        <a:ln>
          <a:prstDash val="solid"/>
        </a:ln>
      </xdr:spPr>
    </xdr:pic>
    <xdr:clientData/>
  </xdr:twoCellAnchor>
  <xdr:twoCellAnchor>
    <xdr:from>
      <xdr:col>7</xdr:col>
      <xdr:colOff>0</xdr:colOff>
      <xdr:row>19</xdr:row>
      <xdr:rowOff>0</xdr:rowOff>
    </xdr:from>
    <xdr:to>
      <xdr:col>7</xdr:col>
      <xdr:colOff>645777</xdr:colOff>
      <xdr:row>19</xdr:row>
      <xdr:rowOff>571725</xdr:rowOff>
    </xdr:to>
    <xdr:pic>
      <xdr:nvPicPr>
        <xdr:cNvPr id="70" name="Image 69" descr="Picture"/>
        <xdr:cNvPicPr/>
      </xdr:nvPicPr>
      <xdr:blipFill>
        <a:blip r:embed="rId19" cstate="print"/>
        <a:stretch>
          <a:fillRect/>
        </a:stretch>
      </xdr:blipFill>
      <xdr:spPr>
        <a:xfrm>
          <a:off x="13296900" y="635000"/>
          <a:ext cx="645160" cy="571500"/>
        </a:xfrm>
        <a:prstGeom prst="rect">
          <a:avLst/>
        </a:prstGeom>
        <a:ln>
          <a:prstDash val="solid"/>
        </a:ln>
      </xdr:spPr>
    </xdr:pic>
    <xdr:clientData/>
  </xdr:twoCellAnchor>
  <xdr:twoCellAnchor>
    <xdr:from>
      <xdr:col>25</xdr:col>
      <xdr:colOff>0</xdr:colOff>
      <xdr:row>19</xdr:row>
      <xdr:rowOff>0</xdr:rowOff>
    </xdr:from>
    <xdr:to>
      <xdr:col>25</xdr:col>
      <xdr:colOff>645777</xdr:colOff>
      <xdr:row>19</xdr:row>
      <xdr:rowOff>571725</xdr:rowOff>
    </xdr:to>
    <xdr:pic>
      <xdr:nvPicPr>
        <xdr:cNvPr id="71" name="Image 70" descr="Picture"/>
        <xdr:cNvPicPr/>
      </xdr:nvPicPr>
      <xdr:blipFill>
        <a:blip r:embed="rId19" cstate="print"/>
        <a:stretch>
          <a:fillRect/>
        </a:stretch>
      </xdr:blipFill>
      <xdr:spPr>
        <a:xfrm>
          <a:off x="26108660" y="635000"/>
          <a:ext cx="645160" cy="571500"/>
        </a:xfrm>
        <a:prstGeom prst="rect">
          <a:avLst/>
        </a:prstGeom>
        <a:ln>
          <a:prstDash val="solid"/>
        </a:ln>
      </xdr:spPr>
    </xdr:pic>
    <xdr:clientData/>
  </xdr:twoCellAnchor>
  <xdr:twoCellAnchor>
    <xdr:from>
      <xdr:col>27</xdr:col>
      <xdr:colOff>0</xdr:colOff>
      <xdr:row>19</xdr:row>
      <xdr:rowOff>0</xdr:rowOff>
    </xdr:from>
    <xdr:to>
      <xdr:col>27</xdr:col>
      <xdr:colOff>645777</xdr:colOff>
      <xdr:row>19</xdr:row>
      <xdr:rowOff>571725</xdr:rowOff>
    </xdr:to>
    <xdr:pic>
      <xdr:nvPicPr>
        <xdr:cNvPr id="72" name="Image 71" descr="Picture"/>
        <xdr:cNvPicPr/>
      </xdr:nvPicPr>
      <xdr:blipFill>
        <a:blip r:embed="rId20" cstate="print"/>
        <a:stretch>
          <a:fillRect/>
        </a:stretch>
      </xdr:blipFill>
      <xdr:spPr>
        <a:xfrm>
          <a:off x="27538680" y="635000"/>
          <a:ext cx="645160" cy="571500"/>
        </a:xfrm>
        <a:prstGeom prst="rect">
          <a:avLst/>
        </a:prstGeom>
        <a:ln>
          <a:prstDash val="solid"/>
        </a:ln>
      </xdr:spPr>
    </xdr:pic>
    <xdr:clientData/>
  </xdr:twoCellAnchor>
  <xdr:twoCellAnchor>
    <xdr:from>
      <xdr:col>29</xdr:col>
      <xdr:colOff>0</xdr:colOff>
      <xdr:row>19</xdr:row>
      <xdr:rowOff>0</xdr:rowOff>
    </xdr:from>
    <xdr:to>
      <xdr:col>29</xdr:col>
      <xdr:colOff>645777</xdr:colOff>
      <xdr:row>19</xdr:row>
      <xdr:rowOff>571725</xdr:rowOff>
    </xdr:to>
    <xdr:pic>
      <xdr:nvPicPr>
        <xdr:cNvPr id="73" name="Image 72" descr="Picture"/>
        <xdr:cNvPicPr/>
      </xdr:nvPicPr>
      <xdr:blipFill>
        <a:blip r:embed="rId21" cstate="print"/>
        <a:stretch>
          <a:fillRect/>
        </a:stretch>
      </xdr:blipFill>
      <xdr:spPr>
        <a:xfrm>
          <a:off x="28910280" y="635000"/>
          <a:ext cx="645160" cy="571500"/>
        </a:xfrm>
        <a:prstGeom prst="rect">
          <a:avLst/>
        </a:prstGeom>
        <a:ln>
          <a:prstDash val="solid"/>
        </a:ln>
      </xdr:spPr>
    </xdr:pic>
    <xdr:clientData/>
  </xdr:twoCellAnchor>
  <xdr:twoCellAnchor>
    <xdr:from>
      <xdr:col>31</xdr:col>
      <xdr:colOff>0</xdr:colOff>
      <xdr:row>19</xdr:row>
      <xdr:rowOff>0</xdr:rowOff>
    </xdr:from>
    <xdr:to>
      <xdr:col>31</xdr:col>
      <xdr:colOff>645777</xdr:colOff>
      <xdr:row>19</xdr:row>
      <xdr:rowOff>571725</xdr:rowOff>
    </xdr:to>
    <xdr:pic>
      <xdr:nvPicPr>
        <xdr:cNvPr id="74" name="Image 73" descr="Picture"/>
        <xdr:cNvPicPr/>
      </xdr:nvPicPr>
      <xdr:blipFill>
        <a:blip r:embed="rId22" cstate="print"/>
        <a:stretch>
          <a:fillRect/>
        </a:stretch>
      </xdr:blipFill>
      <xdr:spPr>
        <a:xfrm>
          <a:off x="30281880" y="635000"/>
          <a:ext cx="645160" cy="571500"/>
        </a:xfrm>
        <a:prstGeom prst="rect">
          <a:avLst/>
        </a:prstGeom>
        <a:ln>
          <a:prstDash val="solid"/>
        </a:ln>
      </xdr:spPr>
    </xdr:pic>
    <xdr:clientData/>
  </xdr:twoCellAnchor>
  <xdr:twoCellAnchor>
    <xdr:from>
      <xdr:col>33</xdr:col>
      <xdr:colOff>0</xdr:colOff>
      <xdr:row>19</xdr:row>
      <xdr:rowOff>0</xdr:rowOff>
    </xdr:from>
    <xdr:to>
      <xdr:col>33</xdr:col>
      <xdr:colOff>645777</xdr:colOff>
      <xdr:row>19</xdr:row>
      <xdr:rowOff>571725</xdr:rowOff>
    </xdr:to>
    <xdr:pic>
      <xdr:nvPicPr>
        <xdr:cNvPr id="75" name="Image 74" descr="Picture"/>
        <xdr:cNvPicPr/>
      </xdr:nvPicPr>
      <xdr:blipFill>
        <a:blip r:embed="rId23" cstate="print"/>
        <a:stretch>
          <a:fillRect/>
        </a:stretch>
      </xdr:blipFill>
      <xdr:spPr>
        <a:xfrm>
          <a:off x="31653480" y="635000"/>
          <a:ext cx="645160" cy="571500"/>
        </a:xfrm>
        <a:prstGeom prst="rect">
          <a:avLst/>
        </a:prstGeom>
        <a:ln>
          <a:prstDash val="solid"/>
        </a:ln>
      </xdr:spPr>
    </xdr:pic>
    <xdr:clientData/>
  </xdr:twoCellAnchor>
  <xdr:twoCellAnchor>
    <xdr:from>
      <xdr:col>35</xdr:col>
      <xdr:colOff>0</xdr:colOff>
      <xdr:row>19</xdr:row>
      <xdr:rowOff>0</xdr:rowOff>
    </xdr:from>
    <xdr:to>
      <xdr:col>35</xdr:col>
      <xdr:colOff>645777</xdr:colOff>
      <xdr:row>19</xdr:row>
      <xdr:rowOff>571725</xdr:rowOff>
    </xdr:to>
    <xdr:pic>
      <xdr:nvPicPr>
        <xdr:cNvPr id="76" name="Image 75" descr="Picture"/>
        <xdr:cNvPicPr/>
      </xdr:nvPicPr>
      <xdr:blipFill>
        <a:blip r:embed="rId24" cstate="print"/>
        <a:stretch>
          <a:fillRect/>
        </a:stretch>
      </xdr:blipFill>
      <xdr:spPr>
        <a:xfrm>
          <a:off x="33025080" y="635000"/>
          <a:ext cx="645160" cy="571500"/>
        </a:xfrm>
        <a:prstGeom prst="rect">
          <a:avLst/>
        </a:prstGeom>
        <a:ln>
          <a:prstDash val="solid"/>
        </a:ln>
      </xdr:spPr>
    </xdr:pic>
    <xdr:clientData/>
  </xdr:twoCellAnchor>
  <xdr:twoCellAnchor>
    <xdr:from>
      <xdr:col>37</xdr:col>
      <xdr:colOff>0</xdr:colOff>
      <xdr:row>19</xdr:row>
      <xdr:rowOff>0</xdr:rowOff>
    </xdr:from>
    <xdr:to>
      <xdr:col>37</xdr:col>
      <xdr:colOff>645777</xdr:colOff>
      <xdr:row>19</xdr:row>
      <xdr:rowOff>571725</xdr:rowOff>
    </xdr:to>
    <xdr:pic>
      <xdr:nvPicPr>
        <xdr:cNvPr id="77" name="Image 76" descr="Picture"/>
        <xdr:cNvPicPr/>
      </xdr:nvPicPr>
      <xdr:blipFill>
        <a:blip r:embed="rId25" cstate="print"/>
        <a:stretch>
          <a:fillRect/>
        </a:stretch>
      </xdr:blipFill>
      <xdr:spPr>
        <a:xfrm>
          <a:off x="34396680" y="635000"/>
          <a:ext cx="645160" cy="571500"/>
        </a:xfrm>
        <a:prstGeom prst="rect">
          <a:avLst/>
        </a:prstGeom>
        <a:ln>
          <a:prstDash val="solid"/>
        </a:ln>
      </xdr:spPr>
    </xdr:pic>
    <xdr:clientData/>
  </xdr:twoCellAnchor>
  <xdr:twoCellAnchor>
    <xdr:from>
      <xdr:col>39</xdr:col>
      <xdr:colOff>0</xdr:colOff>
      <xdr:row>19</xdr:row>
      <xdr:rowOff>0</xdr:rowOff>
    </xdr:from>
    <xdr:to>
      <xdr:col>39</xdr:col>
      <xdr:colOff>645777</xdr:colOff>
      <xdr:row>19</xdr:row>
      <xdr:rowOff>571725</xdr:rowOff>
    </xdr:to>
    <xdr:pic>
      <xdr:nvPicPr>
        <xdr:cNvPr id="78" name="Image 77" descr="Picture"/>
        <xdr:cNvPicPr/>
      </xdr:nvPicPr>
      <xdr:blipFill>
        <a:blip r:embed="rId26" cstate="print"/>
        <a:stretch>
          <a:fillRect/>
        </a:stretch>
      </xdr:blipFill>
      <xdr:spPr>
        <a:xfrm>
          <a:off x="35768280" y="635000"/>
          <a:ext cx="645160" cy="571500"/>
        </a:xfrm>
        <a:prstGeom prst="rect">
          <a:avLst/>
        </a:prstGeom>
        <a:ln>
          <a:prstDash val="solid"/>
        </a:ln>
      </xdr:spPr>
    </xdr:pic>
    <xdr:clientData/>
  </xdr:twoCellAnchor>
  <xdr:twoCellAnchor>
    <xdr:from>
      <xdr:col>41</xdr:col>
      <xdr:colOff>0</xdr:colOff>
      <xdr:row>19</xdr:row>
      <xdr:rowOff>0</xdr:rowOff>
    </xdr:from>
    <xdr:to>
      <xdr:col>41</xdr:col>
      <xdr:colOff>645777</xdr:colOff>
      <xdr:row>19</xdr:row>
      <xdr:rowOff>571725</xdr:rowOff>
    </xdr:to>
    <xdr:pic>
      <xdr:nvPicPr>
        <xdr:cNvPr id="79" name="Image 78" descr="Picture"/>
        <xdr:cNvPicPr/>
      </xdr:nvPicPr>
      <xdr:blipFill>
        <a:blip r:embed="rId27" cstate="print"/>
        <a:stretch>
          <a:fillRect/>
        </a:stretch>
      </xdr:blipFill>
      <xdr:spPr>
        <a:xfrm>
          <a:off x="37139880" y="635000"/>
          <a:ext cx="645160" cy="571500"/>
        </a:xfrm>
        <a:prstGeom prst="rect">
          <a:avLst/>
        </a:prstGeom>
        <a:ln>
          <a:prstDash val="solid"/>
        </a:ln>
      </xdr:spPr>
    </xdr:pic>
    <xdr:clientData/>
  </xdr:twoCellAnchor>
  <xdr:twoCellAnchor>
    <xdr:from>
      <xdr:col>7</xdr:col>
      <xdr:colOff>0</xdr:colOff>
      <xdr:row>20</xdr:row>
      <xdr:rowOff>0</xdr:rowOff>
    </xdr:from>
    <xdr:to>
      <xdr:col>7</xdr:col>
      <xdr:colOff>645777</xdr:colOff>
      <xdr:row>20</xdr:row>
      <xdr:rowOff>571725</xdr:rowOff>
    </xdr:to>
    <xdr:pic>
      <xdr:nvPicPr>
        <xdr:cNvPr id="80" name="Image 79" descr="Picture"/>
        <xdr:cNvPicPr/>
      </xdr:nvPicPr>
      <xdr:blipFill>
        <a:blip r:embed="rId28" cstate="print"/>
        <a:stretch>
          <a:fillRect/>
        </a:stretch>
      </xdr:blipFill>
      <xdr:spPr>
        <a:xfrm>
          <a:off x="13296900" y="1270000"/>
          <a:ext cx="645160" cy="0"/>
        </a:xfrm>
        <a:prstGeom prst="rect">
          <a:avLst/>
        </a:prstGeom>
        <a:ln>
          <a:prstDash val="solid"/>
        </a:ln>
      </xdr:spPr>
    </xdr:pic>
    <xdr:clientData/>
  </xdr:twoCellAnchor>
  <xdr:twoCellAnchor>
    <xdr:from>
      <xdr:col>25</xdr:col>
      <xdr:colOff>0</xdr:colOff>
      <xdr:row>20</xdr:row>
      <xdr:rowOff>0</xdr:rowOff>
    </xdr:from>
    <xdr:to>
      <xdr:col>25</xdr:col>
      <xdr:colOff>645777</xdr:colOff>
      <xdr:row>20</xdr:row>
      <xdr:rowOff>571725</xdr:rowOff>
    </xdr:to>
    <xdr:pic>
      <xdr:nvPicPr>
        <xdr:cNvPr id="81" name="Image 80" descr="Picture"/>
        <xdr:cNvPicPr/>
      </xdr:nvPicPr>
      <xdr:blipFill>
        <a:blip r:embed="rId28" cstate="print"/>
        <a:stretch>
          <a:fillRect/>
        </a:stretch>
      </xdr:blipFill>
      <xdr:spPr>
        <a:xfrm>
          <a:off x="26108660" y="1270000"/>
          <a:ext cx="645160" cy="0"/>
        </a:xfrm>
        <a:prstGeom prst="rect">
          <a:avLst/>
        </a:prstGeom>
        <a:ln>
          <a:prstDash val="solid"/>
        </a:ln>
      </xdr:spPr>
    </xdr:pic>
    <xdr:clientData/>
  </xdr:twoCellAnchor>
  <xdr:twoCellAnchor>
    <xdr:from>
      <xdr:col>27</xdr:col>
      <xdr:colOff>0</xdr:colOff>
      <xdr:row>20</xdr:row>
      <xdr:rowOff>0</xdr:rowOff>
    </xdr:from>
    <xdr:to>
      <xdr:col>27</xdr:col>
      <xdr:colOff>645777</xdr:colOff>
      <xdr:row>20</xdr:row>
      <xdr:rowOff>571725</xdr:rowOff>
    </xdr:to>
    <xdr:pic>
      <xdr:nvPicPr>
        <xdr:cNvPr id="82" name="Image 81" descr="Picture"/>
        <xdr:cNvPicPr/>
      </xdr:nvPicPr>
      <xdr:blipFill>
        <a:blip r:embed="rId21" cstate="print"/>
        <a:stretch>
          <a:fillRect/>
        </a:stretch>
      </xdr:blipFill>
      <xdr:spPr>
        <a:xfrm>
          <a:off x="27538680" y="1270000"/>
          <a:ext cx="645160" cy="0"/>
        </a:xfrm>
        <a:prstGeom prst="rect">
          <a:avLst/>
        </a:prstGeom>
        <a:ln>
          <a:prstDash val="solid"/>
        </a:ln>
      </xdr:spPr>
    </xdr:pic>
    <xdr:clientData/>
  </xdr:twoCellAnchor>
  <xdr:twoCellAnchor>
    <xdr:from>
      <xdr:col>29</xdr:col>
      <xdr:colOff>0</xdr:colOff>
      <xdr:row>20</xdr:row>
      <xdr:rowOff>0</xdr:rowOff>
    </xdr:from>
    <xdr:to>
      <xdr:col>29</xdr:col>
      <xdr:colOff>645777</xdr:colOff>
      <xdr:row>20</xdr:row>
      <xdr:rowOff>571725</xdr:rowOff>
    </xdr:to>
    <xdr:pic>
      <xdr:nvPicPr>
        <xdr:cNvPr id="83" name="Image 82" descr="Picture"/>
        <xdr:cNvPicPr/>
      </xdr:nvPicPr>
      <xdr:blipFill>
        <a:blip r:embed="rId25" cstate="print"/>
        <a:stretch>
          <a:fillRect/>
        </a:stretch>
      </xdr:blipFill>
      <xdr:spPr>
        <a:xfrm>
          <a:off x="28910280" y="1270000"/>
          <a:ext cx="645160" cy="0"/>
        </a:xfrm>
        <a:prstGeom prst="rect">
          <a:avLst/>
        </a:prstGeom>
        <a:ln>
          <a:prstDash val="solid"/>
        </a:ln>
      </xdr:spPr>
    </xdr:pic>
    <xdr:clientData/>
  </xdr:twoCellAnchor>
  <xdr:twoCellAnchor>
    <xdr:from>
      <xdr:col>31</xdr:col>
      <xdr:colOff>0</xdr:colOff>
      <xdr:row>20</xdr:row>
      <xdr:rowOff>0</xdr:rowOff>
    </xdr:from>
    <xdr:to>
      <xdr:col>31</xdr:col>
      <xdr:colOff>645777</xdr:colOff>
      <xdr:row>20</xdr:row>
      <xdr:rowOff>571725</xdr:rowOff>
    </xdr:to>
    <xdr:pic>
      <xdr:nvPicPr>
        <xdr:cNvPr id="84" name="Image 83" descr="Picture"/>
        <xdr:cNvPicPr/>
      </xdr:nvPicPr>
      <xdr:blipFill>
        <a:blip r:embed="rId27" cstate="print"/>
        <a:stretch>
          <a:fillRect/>
        </a:stretch>
      </xdr:blipFill>
      <xdr:spPr>
        <a:xfrm>
          <a:off x="30281880" y="1270000"/>
          <a:ext cx="645160" cy="0"/>
        </a:xfrm>
        <a:prstGeom prst="rect">
          <a:avLst/>
        </a:prstGeom>
        <a:ln>
          <a:prstDash val="solid"/>
        </a:ln>
      </xdr:spPr>
    </xdr:pic>
    <xdr:clientData/>
  </xdr:twoCellAnchor>
  <xdr:twoCellAnchor>
    <xdr:from>
      <xdr:col>33</xdr:col>
      <xdr:colOff>0</xdr:colOff>
      <xdr:row>20</xdr:row>
      <xdr:rowOff>0</xdr:rowOff>
    </xdr:from>
    <xdr:to>
      <xdr:col>33</xdr:col>
      <xdr:colOff>645777</xdr:colOff>
      <xdr:row>20</xdr:row>
      <xdr:rowOff>571725</xdr:rowOff>
    </xdr:to>
    <xdr:pic>
      <xdr:nvPicPr>
        <xdr:cNvPr id="85" name="Image 84" descr="Picture"/>
        <xdr:cNvPicPr/>
      </xdr:nvPicPr>
      <xdr:blipFill>
        <a:blip r:embed="rId29" cstate="print"/>
        <a:stretch>
          <a:fillRect/>
        </a:stretch>
      </xdr:blipFill>
      <xdr:spPr>
        <a:xfrm>
          <a:off x="31653480" y="1270000"/>
          <a:ext cx="645160" cy="0"/>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O26"/>
  <sheetViews>
    <sheetView tabSelected="1" zoomScale="145" zoomScaleNormal="145" workbookViewId="0">
      <selection activeCell="D32" sqref="D32"/>
    </sheetView>
  </sheetViews>
  <sheetFormatPr defaultColWidth="9" defaultRowHeight="13.5"/>
  <cols>
    <col min="1" max="3" width="17.75" style="2" customWidth="1"/>
    <col min="4" max="4" width="46.875" style="2" customWidth="1"/>
    <col min="5" max="5" width="56.375" style="2" customWidth="1"/>
    <col min="10" max="10" width="9.76666666666667" style="2" customWidth="1"/>
    <col min="12" max="12" width="9.76666666666667" style="2" customWidth="1"/>
    <col min="14" max="14" width="9.76666666666667" style="2" customWidth="1"/>
    <col min="16" max="16" width="9.76666666666667" style="2" customWidth="1"/>
    <col min="18" max="18" width="9.76666666666667" style="2" customWidth="1"/>
    <col min="20" max="20" width="9.76666666666667" style="2" customWidth="1"/>
    <col min="22" max="22" width="9.76666666666667" style="2" customWidth="1"/>
    <col min="24" max="24" width="9.76666666666667" style="2" customWidth="1"/>
    <col min="26" max="26" width="9.76666666666667" style="2" customWidth="1"/>
  </cols>
  <sheetData>
    <row r="1" ht="50" customHeight="1" spans="1:67">
      <c r="A1" s="3" t="s">
        <v>0</v>
      </c>
      <c r="B1" s="4" t="s">
        <v>1</v>
      </c>
      <c r="C1" s="4" t="s">
        <v>1</v>
      </c>
      <c r="D1" s="4" t="s">
        <v>2</v>
      </c>
      <c r="E1" s="4" t="s">
        <v>3</v>
      </c>
      <c r="F1" s="4">
        <f t="shared" ref="F1:F19" si="0">LEN(E1)</f>
        <v>114</v>
      </c>
      <c r="G1" s="4"/>
      <c r="H1" s="4"/>
      <c r="I1" s="4" t="s">
        <v>4</v>
      </c>
      <c r="J1" s="4" t="s">
        <v>5</v>
      </c>
      <c r="K1" s="4"/>
      <c r="L1" s="4"/>
      <c r="M1" s="4" t="s">
        <v>6</v>
      </c>
      <c r="N1" s="4" t="s">
        <v>7</v>
      </c>
      <c r="O1" s="4"/>
      <c r="P1" s="4" t="s">
        <v>8</v>
      </c>
      <c r="Q1" s="4" t="s">
        <v>9</v>
      </c>
      <c r="R1" s="4" t="s">
        <v>10</v>
      </c>
      <c r="S1" s="4" t="s">
        <v>11</v>
      </c>
      <c r="T1" s="4" t="s">
        <v>12</v>
      </c>
      <c r="U1" s="4" t="s">
        <v>13</v>
      </c>
      <c r="V1" s="4" t="s">
        <v>14</v>
      </c>
      <c r="W1" s="4" t="s">
        <v>15</v>
      </c>
      <c r="X1" s="4" t="s">
        <v>16</v>
      </c>
      <c r="Y1" s="4" t="s">
        <v>17</v>
      </c>
      <c r="Z1" s="4"/>
      <c r="AA1" s="4" t="s">
        <v>8</v>
      </c>
      <c r="AB1" s="4"/>
      <c r="AC1" s="4" t="s">
        <v>9</v>
      </c>
      <c r="AD1" s="4"/>
      <c r="AE1" s="4" t="s">
        <v>10</v>
      </c>
      <c r="AF1" s="4"/>
      <c r="AG1" s="4" t="s">
        <v>11</v>
      </c>
      <c r="AH1" s="4"/>
      <c r="AI1" s="4" t="s">
        <v>12</v>
      </c>
      <c r="AJ1" s="4"/>
      <c r="AK1" s="4" t="s">
        <v>13</v>
      </c>
      <c r="AL1" s="4"/>
      <c r="AM1" s="4" t="s">
        <v>14</v>
      </c>
      <c r="AN1" s="4"/>
      <c r="AO1" s="4" t="s">
        <v>15</v>
      </c>
      <c r="AP1" s="4"/>
      <c r="AQ1" s="4" t="s">
        <v>16</v>
      </c>
      <c r="AR1" s="4" t="s">
        <v>18</v>
      </c>
      <c r="AS1" s="4" t="s">
        <v>6</v>
      </c>
      <c r="AT1" s="4">
        <v>23.42</v>
      </c>
      <c r="AU1" s="4">
        <v>28.1</v>
      </c>
      <c r="AV1" s="4">
        <v>20.12</v>
      </c>
      <c r="AW1" s="4">
        <v>26.12</v>
      </c>
      <c r="AY1" t="s">
        <v>19</v>
      </c>
      <c r="AZ1" t="s">
        <v>20</v>
      </c>
      <c r="BA1" t="s">
        <v>21</v>
      </c>
      <c r="BB1" t="s">
        <v>22</v>
      </c>
      <c r="BC1" t="s">
        <v>23</v>
      </c>
      <c r="BD1" t="s">
        <v>24</v>
      </c>
      <c r="BE1" t="s">
        <v>25</v>
      </c>
      <c r="BG1" t="s">
        <v>26</v>
      </c>
      <c r="BH1" t="s">
        <v>27</v>
      </c>
      <c r="BI1" t="s">
        <v>28</v>
      </c>
      <c r="BK1" t="s">
        <v>29</v>
      </c>
      <c r="BL1" t="s">
        <v>30</v>
      </c>
      <c r="BM1" t="s">
        <v>31</v>
      </c>
      <c r="BN1" t="s">
        <v>32</v>
      </c>
      <c r="BO1" t="s">
        <v>33</v>
      </c>
    </row>
    <row r="2" ht="50" hidden="1" customHeight="1" spans="1:67">
      <c r="A2" s="4" t="s">
        <v>34</v>
      </c>
      <c r="B2" s="4" t="s">
        <v>35</v>
      </c>
      <c r="C2" s="4" t="s">
        <v>1</v>
      </c>
      <c r="D2" s="4" t="str">
        <f t="shared" ref="D2:D31" si="1">D1</f>
        <v>Cardigan Homme Capuche Lin Manches Longues Ample Cintré</v>
      </c>
      <c r="E2" s="4" t="str">
        <f t="shared" ref="E2:E31" si="2">E1</f>
        <v>Coton Fin Respirant Anti-UV Cordon de Serrage Demi-Ouverture Ourlet Courbe Vacances Décontracté Cardigan Essentiel</v>
      </c>
      <c r="F2" s="4">
        <f t="shared" si="0"/>
        <v>114</v>
      </c>
      <c r="G2" s="4"/>
      <c r="H2" s="4"/>
      <c r="I2" s="4" t="s">
        <v>36</v>
      </c>
      <c r="J2" s="4" t="s">
        <v>37</v>
      </c>
      <c r="K2" s="4" t="s">
        <v>37</v>
      </c>
      <c r="L2" s="4" t="s">
        <v>38</v>
      </c>
      <c r="M2" s="4" t="s">
        <v>39</v>
      </c>
      <c r="N2" s="4" t="s">
        <v>40</v>
      </c>
      <c r="O2" s="4"/>
      <c r="P2" s="4" t="s">
        <v>41</v>
      </c>
      <c r="Q2" s="4" t="s">
        <v>42</v>
      </c>
      <c r="R2" s="4" t="s">
        <v>43</v>
      </c>
      <c r="S2" s="4" t="s">
        <v>44</v>
      </c>
      <c r="T2" s="4"/>
      <c r="U2" s="4"/>
      <c r="V2" s="4"/>
      <c r="W2" s="4"/>
      <c r="X2" s="4"/>
      <c r="Y2" s="4" t="s">
        <v>17</v>
      </c>
      <c r="Z2" s="4"/>
      <c r="AA2" s="4" t="s">
        <v>41</v>
      </c>
      <c r="AB2" s="4"/>
      <c r="AC2" s="4" t="s">
        <v>42</v>
      </c>
      <c r="AD2" s="4"/>
      <c r="AE2" s="4" t="s">
        <v>43</v>
      </c>
      <c r="AF2" s="4"/>
      <c r="AG2" s="4" t="s">
        <v>44</v>
      </c>
      <c r="AH2" s="4" t="s">
        <v>45</v>
      </c>
      <c r="AI2" s="4" t="s">
        <v>45</v>
      </c>
      <c r="AJ2" s="4" t="s">
        <v>45</v>
      </c>
      <c r="AK2" s="4" t="s">
        <v>45</v>
      </c>
      <c r="AL2" s="4" t="s">
        <v>45</v>
      </c>
      <c r="AM2" s="4" t="s">
        <v>45</v>
      </c>
      <c r="AN2" s="4" t="s">
        <v>45</v>
      </c>
      <c r="AO2" s="4" t="s">
        <v>45</v>
      </c>
      <c r="AP2" s="4" t="s">
        <v>45</v>
      </c>
      <c r="AQ2" s="4" t="s">
        <v>45</v>
      </c>
      <c r="AR2" s="4" t="s">
        <v>18</v>
      </c>
      <c r="AS2" s="4" t="s">
        <v>39</v>
      </c>
      <c r="AT2" s="4">
        <v>23.58</v>
      </c>
      <c r="AU2" s="4">
        <v>28.3</v>
      </c>
      <c r="AV2" s="4">
        <v>20.32</v>
      </c>
      <c r="AW2" s="4">
        <v>26.32</v>
      </c>
      <c r="AY2" t="str">
        <f t="shared" ref="AY2:AY31" si="3">AY1</f>
        <v>Sans col</v>
      </c>
      <c r="AZ2" t="str">
        <f t="shared" ref="AZ2:AZ31" si="4">AZ1</f>
        <v>Décontracté</v>
      </c>
      <c r="BA2" t="str">
        <f t="shared" ref="BA2:BA31" si="5">BA1</f>
        <v>Minimaliste</v>
      </c>
      <c r="BB2" t="str">
        <f t="shared" ref="BB2:BB31" si="6">BB1</f>
        <v>Chemise</v>
      </c>
      <c r="BC2" t="str">
        <f t="shared" ref="BC2:BC31" si="7">BC1</f>
        <v>Surdimensionnée</v>
      </c>
      <c r="BD2" t="str">
        <f t="shared" ref="BD2:BD31" si="8">BD1</f>
        <v>Plaine</v>
      </c>
      <c r="BE2" t="str">
        <f t="shared" ref="BE2:BE31" si="9">BE1</f>
        <v>À capuche</v>
      </c>
      <c r="BG2" t="str">
        <f t="shared" ref="BG2:BG31" si="10">BG1</f>
        <v>Manches longues</v>
      </c>
      <c r="BH2" t="str">
        <f t="shared" ref="BH2:BH31" si="11">BH1</f>
        <v>Manchette</v>
      </c>
      <c r="BI2" t="str">
        <f t="shared" ref="BI2:BI31" si="12">BI1</f>
        <v>Bouton</v>
      </c>
      <c r="BK2" t="str">
        <f t="shared" ref="BK2:BK31" si="13">BK1</f>
        <v>Tissu respirant : profitez d’un confort optimal au quotidien, car nos chemises pour homme sont confectionnées dans un tissu de qualité supérieure, très respirant, qui vous garantit un confort optimal.</v>
      </c>
      <c r="BL2" t="str">
        <f t="shared" ref="BL2:BL31" si="14">BL1</f>
        <v>Design classique et tendance : cette chemise intemporelle, au style très tendance, allie élégance et charme décontracté, ce qui la rend idéale pour toutes les occasions décontractées.</v>
      </c>
      <c r="BM2" t="str">
        <f t="shared" ref="BM2:BM31" si="15">BM1</f>
        <v>Polyvalente et adaptée à toutes les occasions : que ce soit pour aller à la plage, participer à un barbecue estival ou simplement vous détendre chez vous, cette chemise en lin à manches longues pour homme est le choix idéal pour créer un look décontracté.</v>
      </c>
      <c r="BN2" t="str">
        <f t="shared" ref="BN2:BN31" si="16">BN1</f>
        <v>Facile à assortir : associez cette chemise unie classique à un short, un pantalon kaki ou un jean pour créer un look raffiné sans effort, qui s'adapte aussi bien à la journée qu'à la soirée.</v>
      </c>
      <c r="BO2" t="str">
        <f t="shared" ref="BO2:BO31" si="17">BO1</f>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3" ht="50" hidden="1" customHeight="1" spans="1:67">
      <c r="A3" s="4" t="s">
        <v>46</v>
      </c>
      <c r="B3" s="4" t="s">
        <v>47</v>
      </c>
      <c r="C3" s="4" t="s">
        <v>1</v>
      </c>
      <c r="D3" s="4" t="str">
        <f t="shared" si="1"/>
        <v>Cardigan Homme Capuche Lin Manches Longues Ample Cintré</v>
      </c>
      <c r="E3" s="4" t="str">
        <f t="shared" si="2"/>
        <v>Coton Fin Respirant Anti-UV Cordon de Serrage Demi-Ouverture Ourlet Courbe Vacances Décontracté Cardigan Essentiel</v>
      </c>
      <c r="F3" s="4">
        <f t="shared" si="0"/>
        <v>114</v>
      </c>
      <c r="G3" s="4"/>
      <c r="H3" s="4"/>
      <c r="I3" s="4" t="s">
        <v>48</v>
      </c>
      <c r="J3" s="4" t="s">
        <v>37</v>
      </c>
      <c r="K3" s="4" t="s">
        <v>37</v>
      </c>
      <c r="L3" s="4" t="s">
        <v>49</v>
      </c>
      <c r="M3" s="4" t="s">
        <v>50</v>
      </c>
      <c r="N3" s="4" t="s">
        <v>51</v>
      </c>
      <c r="O3" s="4"/>
      <c r="P3" s="4" t="s">
        <v>52</v>
      </c>
      <c r="Q3" s="4" t="s">
        <v>53</v>
      </c>
      <c r="R3" s="4" t="s">
        <v>54</v>
      </c>
      <c r="S3" s="4" t="s">
        <v>55</v>
      </c>
      <c r="T3" s="4"/>
      <c r="U3" s="4"/>
      <c r="V3" s="4"/>
      <c r="W3" s="4"/>
      <c r="X3" s="4"/>
      <c r="Y3" s="4" t="s">
        <v>17</v>
      </c>
      <c r="Z3" s="4"/>
      <c r="AA3" s="4" t="s">
        <v>52</v>
      </c>
      <c r="AB3" s="4"/>
      <c r="AC3" s="4" t="s">
        <v>53</v>
      </c>
      <c r="AD3" s="4"/>
      <c r="AE3" s="4" t="s">
        <v>54</v>
      </c>
      <c r="AF3" s="4"/>
      <c r="AG3" s="4" t="s">
        <v>55</v>
      </c>
      <c r="AH3" s="4" t="s">
        <v>45</v>
      </c>
      <c r="AI3" s="4" t="s">
        <v>45</v>
      </c>
      <c r="AJ3" s="4" t="s">
        <v>45</v>
      </c>
      <c r="AK3" s="4" t="s">
        <v>45</v>
      </c>
      <c r="AL3" s="4" t="s">
        <v>45</v>
      </c>
      <c r="AM3" s="4" t="s">
        <v>45</v>
      </c>
      <c r="AN3" s="4" t="s">
        <v>45</v>
      </c>
      <c r="AO3" s="4" t="s">
        <v>45</v>
      </c>
      <c r="AP3" s="4" t="s">
        <v>45</v>
      </c>
      <c r="AQ3" s="4" t="s">
        <v>45</v>
      </c>
      <c r="AR3" s="4" t="s">
        <v>18</v>
      </c>
      <c r="AS3" s="4" t="s">
        <v>50</v>
      </c>
      <c r="AT3" s="4">
        <v>23.6</v>
      </c>
      <c r="AU3" s="4">
        <v>28.32</v>
      </c>
      <c r="AV3" s="4">
        <v>20.34</v>
      </c>
      <c r="AW3" s="4">
        <v>26.34</v>
      </c>
      <c r="AY3" t="str">
        <f t="shared" si="3"/>
        <v>Sans col</v>
      </c>
      <c r="AZ3" t="str">
        <f t="shared" si="4"/>
        <v>Décontracté</v>
      </c>
      <c r="BA3" t="str">
        <f t="shared" si="5"/>
        <v>Minimaliste</v>
      </c>
      <c r="BB3" t="str">
        <f t="shared" si="6"/>
        <v>Chemise</v>
      </c>
      <c r="BC3" t="str">
        <f t="shared" si="7"/>
        <v>Surdimensionnée</v>
      </c>
      <c r="BD3" t="str">
        <f t="shared" si="8"/>
        <v>Plaine</v>
      </c>
      <c r="BE3" t="str">
        <f t="shared" si="9"/>
        <v>À capuche</v>
      </c>
      <c r="BG3" t="str">
        <f t="shared" si="10"/>
        <v>Manches longues</v>
      </c>
      <c r="BH3" t="str">
        <f t="shared" si="11"/>
        <v>Manchette</v>
      </c>
      <c r="BI3" t="str">
        <f t="shared" si="12"/>
        <v>Bouton</v>
      </c>
      <c r="BK3" t="str">
        <f t="shared" si="13"/>
        <v>Tissu respirant : profitez d’un confort optimal au quotidien, car nos chemises pour homme sont confectionnées dans un tissu de qualité supérieure, très respirant, qui vous garantit un confort optimal.</v>
      </c>
      <c r="BL3" t="str">
        <f t="shared" si="14"/>
        <v>Design classique et tendance : cette chemise intemporelle, au style très tendance, allie élégance et charme décontracté, ce qui la rend idéale pour toutes les occasions décontractées.</v>
      </c>
      <c r="BM3"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3" t="str">
        <f t="shared" si="16"/>
        <v>Facile à assortir : associez cette chemise unie classique à un short, un pantalon kaki ou un jean pour créer un look raffiné sans effort, qui s'adapte aussi bien à la journée qu'à la soirée.</v>
      </c>
      <c r="BO3"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4" ht="50" hidden="1" customHeight="1" spans="1:67">
      <c r="A4" s="4" t="s">
        <v>56</v>
      </c>
      <c r="B4" s="4" t="s">
        <v>57</v>
      </c>
      <c r="C4" s="4" t="s">
        <v>1</v>
      </c>
      <c r="D4" s="4" t="str">
        <f t="shared" si="1"/>
        <v>Cardigan Homme Capuche Lin Manches Longues Ample Cintré</v>
      </c>
      <c r="E4" s="4" t="str">
        <f t="shared" si="2"/>
        <v>Coton Fin Respirant Anti-UV Cordon de Serrage Demi-Ouverture Ourlet Courbe Vacances Décontracté Cardigan Essentiel</v>
      </c>
      <c r="F4" s="4">
        <f t="shared" si="0"/>
        <v>114</v>
      </c>
      <c r="G4" s="4"/>
      <c r="H4" s="4"/>
      <c r="I4" s="4" t="s">
        <v>58</v>
      </c>
      <c r="J4" s="4" t="s">
        <v>37</v>
      </c>
      <c r="K4" s="4" t="s">
        <v>37</v>
      </c>
      <c r="L4" s="4" t="s">
        <v>59</v>
      </c>
      <c r="M4" s="4" t="s">
        <v>60</v>
      </c>
      <c r="N4" s="4" t="s">
        <v>61</v>
      </c>
      <c r="O4" s="4"/>
      <c r="P4" s="4" t="s">
        <v>62</v>
      </c>
      <c r="Q4" s="4" t="s">
        <v>63</v>
      </c>
      <c r="R4" s="4" t="s">
        <v>64</v>
      </c>
      <c r="S4" s="4" t="s">
        <v>65</v>
      </c>
      <c r="T4" s="4"/>
      <c r="U4" s="4"/>
      <c r="V4" s="4"/>
      <c r="W4" s="4"/>
      <c r="X4" s="4"/>
      <c r="Y4" s="4" t="s">
        <v>17</v>
      </c>
      <c r="Z4" s="4"/>
      <c r="AA4" s="4" t="s">
        <v>62</v>
      </c>
      <c r="AB4" s="4"/>
      <c r="AC4" s="4" t="s">
        <v>63</v>
      </c>
      <c r="AD4" s="4"/>
      <c r="AE4" s="4" t="s">
        <v>64</v>
      </c>
      <c r="AF4" s="4"/>
      <c r="AG4" s="4" t="s">
        <v>65</v>
      </c>
      <c r="AH4" s="4" t="s">
        <v>45</v>
      </c>
      <c r="AI4" s="4" t="s">
        <v>45</v>
      </c>
      <c r="AJ4" s="4" t="s">
        <v>45</v>
      </c>
      <c r="AK4" s="4" t="s">
        <v>45</v>
      </c>
      <c r="AL4" s="4" t="s">
        <v>45</v>
      </c>
      <c r="AM4" s="4" t="s">
        <v>45</v>
      </c>
      <c r="AN4" s="4" t="s">
        <v>45</v>
      </c>
      <c r="AO4" s="4" t="s">
        <v>45</v>
      </c>
      <c r="AP4" s="4" t="s">
        <v>45</v>
      </c>
      <c r="AQ4" s="4" t="s">
        <v>45</v>
      </c>
      <c r="AR4" s="4" t="s">
        <v>18</v>
      </c>
      <c r="AS4" s="4" t="s">
        <v>60</v>
      </c>
      <c r="AT4" s="4">
        <v>23.6</v>
      </c>
      <c r="AU4" s="4">
        <v>28.32</v>
      </c>
      <c r="AV4" s="4">
        <v>20.34</v>
      </c>
      <c r="AW4" s="4">
        <v>26.34</v>
      </c>
      <c r="AY4" t="str">
        <f t="shared" si="3"/>
        <v>Sans col</v>
      </c>
      <c r="AZ4" t="str">
        <f t="shared" si="4"/>
        <v>Décontracté</v>
      </c>
      <c r="BA4" t="str">
        <f t="shared" si="5"/>
        <v>Minimaliste</v>
      </c>
      <c r="BB4" t="str">
        <f t="shared" si="6"/>
        <v>Chemise</v>
      </c>
      <c r="BC4" t="str">
        <f t="shared" si="7"/>
        <v>Surdimensionnée</v>
      </c>
      <c r="BD4" t="str">
        <f t="shared" si="8"/>
        <v>Plaine</v>
      </c>
      <c r="BE4" t="str">
        <f t="shared" si="9"/>
        <v>À capuche</v>
      </c>
      <c r="BG4" t="str">
        <f t="shared" si="10"/>
        <v>Manches longues</v>
      </c>
      <c r="BH4" t="str">
        <f t="shared" si="11"/>
        <v>Manchette</v>
      </c>
      <c r="BI4" t="str">
        <f t="shared" si="12"/>
        <v>Bouton</v>
      </c>
      <c r="BK4" t="str">
        <f t="shared" si="13"/>
        <v>Tissu respirant : profitez d’un confort optimal au quotidien, car nos chemises pour homme sont confectionnées dans un tissu de qualité supérieure, très respirant, qui vous garantit un confort optimal.</v>
      </c>
      <c r="BL4" t="str">
        <f t="shared" si="14"/>
        <v>Design classique et tendance : cette chemise intemporelle, au style très tendance, allie élégance et charme décontracté, ce qui la rend idéale pour toutes les occasions décontractées.</v>
      </c>
      <c r="BM4"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4" t="str">
        <f t="shared" si="16"/>
        <v>Facile à assortir : associez cette chemise unie classique à un short, un pantalon kaki ou un jean pour créer un look raffiné sans effort, qui s'adapte aussi bien à la journée qu'à la soirée.</v>
      </c>
      <c r="BO4"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5" ht="50" hidden="1" customHeight="1" spans="1:67">
      <c r="A5" s="4" t="s">
        <v>66</v>
      </c>
      <c r="B5" s="4" t="s">
        <v>67</v>
      </c>
      <c r="C5" s="4" t="s">
        <v>1</v>
      </c>
      <c r="D5" s="4" t="str">
        <f t="shared" si="1"/>
        <v>Cardigan Homme Capuche Lin Manches Longues Ample Cintré</v>
      </c>
      <c r="E5" s="4" t="str">
        <f t="shared" si="2"/>
        <v>Coton Fin Respirant Anti-UV Cordon de Serrage Demi-Ouverture Ourlet Courbe Vacances Décontracté Cardigan Essentiel</v>
      </c>
      <c r="F5" s="4">
        <f t="shared" si="0"/>
        <v>114</v>
      </c>
      <c r="G5" s="4"/>
      <c r="H5" s="4"/>
      <c r="I5" s="4" t="s">
        <v>68</v>
      </c>
      <c r="J5" s="4" t="s">
        <v>37</v>
      </c>
      <c r="K5" s="4" t="s">
        <v>37</v>
      </c>
      <c r="L5" s="4" t="s">
        <v>69</v>
      </c>
      <c r="M5" s="4" t="s">
        <v>70</v>
      </c>
      <c r="N5" s="4" t="s">
        <v>71</v>
      </c>
      <c r="O5" s="4"/>
      <c r="P5" s="4" t="s">
        <v>72</v>
      </c>
      <c r="Q5" s="4" t="s">
        <v>73</v>
      </c>
      <c r="R5" s="4" t="s">
        <v>74</v>
      </c>
      <c r="S5" s="4" t="s">
        <v>75</v>
      </c>
      <c r="T5" s="4"/>
      <c r="U5" s="4"/>
      <c r="V5" s="4"/>
      <c r="W5" s="4"/>
      <c r="X5" s="4"/>
      <c r="Y5" s="4" t="s">
        <v>17</v>
      </c>
      <c r="Z5" s="4"/>
      <c r="AA5" s="4" t="s">
        <v>72</v>
      </c>
      <c r="AB5" s="4"/>
      <c r="AC5" s="4" t="s">
        <v>73</v>
      </c>
      <c r="AD5" s="4"/>
      <c r="AE5" s="4" t="s">
        <v>74</v>
      </c>
      <c r="AF5" s="4"/>
      <c r="AG5" s="4" t="s">
        <v>75</v>
      </c>
      <c r="AH5" s="4" t="s">
        <v>45</v>
      </c>
      <c r="AI5" s="4" t="s">
        <v>45</v>
      </c>
      <c r="AJ5" s="4" t="s">
        <v>45</v>
      </c>
      <c r="AK5" s="4" t="s">
        <v>45</v>
      </c>
      <c r="AL5" s="4" t="s">
        <v>45</v>
      </c>
      <c r="AM5" s="4" t="s">
        <v>45</v>
      </c>
      <c r="AN5" s="4" t="s">
        <v>45</v>
      </c>
      <c r="AO5" s="4" t="s">
        <v>45</v>
      </c>
      <c r="AP5" s="4" t="s">
        <v>45</v>
      </c>
      <c r="AQ5" s="4" t="s">
        <v>45</v>
      </c>
      <c r="AR5" s="4" t="s">
        <v>18</v>
      </c>
      <c r="AS5" s="4" t="s">
        <v>70</v>
      </c>
      <c r="AT5" s="4">
        <v>23.67</v>
      </c>
      <c r="AU5" s="4">
        <v>28.4</v>
      </c>
      <c r="AV5" s="4">
        <v>20.42</v>
      </c>
      <c r="AW5" s="4">
        <v>26.42</v>
      </c>
      <c r="AY5" t="str">
        <f t="shared" si="3"/>
        <v>Sans col</v>
      </c>
      <c r="AZ5" t="str">
        <f t="shared" si="4"/>
        <v>Décontracté</v>
      </c>
      <c r="BA5" t="str">
        <f t="shared" si="5"/>
        <v>Minimaliste</v>
      </c>
      <c r="BB5" t="str">
        <f t="shared" si="6"/>
        <v>Chemise</v>
      </c>
      <c r="BC5" t="str">
        <f t="shared" si="7"/>
        <v>Surdimensionnée</v>
      </c>
      <c r="BD5" t="str">
        <f t="shared" si="8"/>
        <v>Plaine</v>
      </c>
      <c r="BE5" t="str">
        <f t="shared" si="9"/>
        <v>À capuche</v>
      </c>
      <c r="BG5" t="str">
        <f t="shared" si="10"/>
        <v>Manches longues</v>
      </c>
      <c r="BH5" t="str">
        <f t="shared" si="11"/>
        <v>Manchette</v>
      </c>
      <c r="BI5" t="str">
        <f t="shared" si="12"/>
        <v>Bouton</v>
      </c>
      <c r="BK5" t="str">
        <f t="shared" si="13"/>
        <v>Tissu respirant : profitez d’un confort optimal au quotidien, car nos chemises pour homme sont confectionnées dans un tissu de qualité supérieure, très respirant, qui vous garantit un confort optimal.</v>
      </c>
      <c r="BL5" t="str">
        <f t="shared" si="14"/>
        <v>Design classique et tendance : cette chemise intemporelle, au style très tendance, allie élégance et charme décontracté, ce qui la rend idéale pour toutes les occasions décontractées.</v>
      </c>
      <c r="BM5"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5" t="str">
        <f t="shared" si="16"/>
        <v>Facile à assortir : associez cette chemise unie classique à un short, un pantalon kaki ou un jean pour créer un look raffiné sans effort, qui s'adapte aussi bien à la journée qu'à la soirée.</v>
      </c>
      <c r="BO5"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6" ht="50" hidden="1" customHeight="1" spans="1:67">
      <c r="A6" s="4" t="s">
        <v>76</v>
      </c>
      <c r="B6" s="4" t="s">
        <v>77</v>
      </c>
      <c r="C6" s="4" t="s">
        <v>1</v>
      </c>
      <c r="D6" s="4" t="str">
        <f t="shared" si="1"/>
        <v>Cardigan Homme Capuche Lin Manches Longues Ample Cintré</v>
      </c>
      <c r="E6" s="4" t="str">
        <f t="shared" si="2"/>
        <v>Coton Fin Respirant Anti-UV Cordon de Serrage Demi-Ouverture Ourlet Courbe Vacances Décontracté Cardigan Essentiel</v>
      </c>
      <c r="F6" s="4">
        <f t="shared" si="0"/>
        <v>114</v>
      </c>
      <c r="G6" s="4"/>
      <c r="H6" s="4"/>
      <c r="I6" s="4" t="s">
        <v>78</v>
      </c>
      <c r="J6" s="4" t="s">
        <v>37</v>
      </c>
      <c r="K6" s="4" t="s">
        <v>37</v>
      </c>
      <c r="L6" s="4" t="s">
        <v>79</v>
      </c>
      <c r="M6" s="4" t="s">
        <v>80</v>
      </c>
      <c r="N6" s="4" t="s">
        <v>81</v>
      </c>
      <c r="O6" s="4"/>
      <c r="P6" s="4" t="s">
        <v>82</v>
      </c>
      <c r="Q6" s="4" t="s">
        <v>83</v>
      </c>
      <c r="R6" s="4" t="s">
        <v>84</v>
      </c>
      <c r="S6" s="4" t="s">
        <v>85</v>
      </c>
      <c r="T6" s="4"/>
      <c r="U6" s="4"/>
      <c r="V6" s="4"/>
      <c r="W6" s="4"/>
      <c r="X6" s="4"/>
      <c r="Y6" s="4" t="s">
        <v>17</v>
      </c>
      <c r="Z6" s="4"/>
      <c r="AA6" s="4" t="s">
        <v>82</v>
      </c>
      <c r="AB6" s="4"/>
      <c r="AC6" s="4" t="s">
        <v>83</v>
      </c>
      <c r="AD6" s="4"/>
      <c r="AE6" s="4" t="s">
        <v>84</v>
      </c>
      <c r="AF6" s="4"/>
      <c r="AG6" s="4" t="s">
        <v>85</v>
      </c>
      <c r="AH6" s="4" t="s">
        <v>45</v>
      </c>
      <c r="AI6" s="4" t="s">
        <v>45</v>
      </c>
      <c r="AJ6" s="4" t="s">
        <v>45</v>
      </c>
      <c r="AK6" s="4" t="s">
        <v>45</v>
      </c>
      <c r="AL6" s="4" t="s">
        <v>45</v>
      </c>
      <c r="AM6" s="4" t="s">
        <v>45</v>
      </c>
      <c r="AN6" s="4" t="s">
        <v>45</v>
      </c>
      <c r="AO6" s="4" t="s">
        <v>45</v>
      </c>
      <c r="AP6" s="4" t="s">
        <v>45</v>
      </c>
      <c r="AQ6" s="4" t="s">
        <v>45</v>
      </c>
      <c r="AR6" s="4" t="s">
        <v>18</v>
      </c>
      <c r="AS6" s="4" t="s">
        <v>80</v>
      </c>
      <c r="AT6" s="4">
        <v>23.52</v>
      </c>
      <c r="AU6" s="4">
        <v>28.22</v>
      </c>
      <c r="AV6" s="4">
        <v>20.24</v>
      </c>
      <c r="AW6" s="4">
        <v>26.24</v>
      </c>
      <c r="AY6" t="str">
        <f t="shared" si="3"/>
        <v>Sans col</v>
      </c>
      <c r="AZ6" t="str">
        <f t="shared" si="4"/>
        <v>Décontracté</v>
      </c>
      <c r="BA6" t="str">
        <f t="shared" si="5"/>
        <v>Minimaliste</v>
      </c>
      <c r="BB6" t="str">
        <f t="shared" si="6"/>
        <v>Chemise</v>
      </c>
      <c r="BC6" t="str">
        <f t="shared" si="7"/>
        <v>Surdimensionnée</v>
      </c>
      <c r="BD6" t="str">
        <f t="shared" si="8"/>
        <v>Plaine</v>
      </c>
      <c r="BE6" t="str">
        <f t="shared" si="9"/>
        <v>À capuche</v>
      </c>
      <c r="BG6" t="str">
        <f t="shared" si="10"/>
        <v>Manches longues</v>
      </c>
      <c r="BH6" t="str">
        <f t="shared" si="11"/>
        <v>Manchette</v>
      </c>
      <c r="BI6" t="str">
        <f t="shared" si="12"/>
        <v>Bouton</v>
      </c>
      <c r="BK6" t="str">
        <f t="shared" si="13"/>
        <v>Tissu respirant : profitez d’un confort optimal au quotidien, car nos chemises pour homme sont confectionnées dans un tissu de qualité supérieure, très respirant, qui vous garantit un confort optimal.</v>
      </c>
      <c r="BL6" t="str">
        <f t="shared" si="14"/>
        <v>Design classique et tendance : cette chemise intemporelle, au style très tendance, allie élégance et charme décontracté, ce qui la rend idéale pour toutes les occasions décontractées.</v>
      </c>
      <c r="BM6"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6" t="str">
        <f t="shared" si="16"/>
        <v>Facile à assortir : associez cette chemise unie classique à un short, un pantalon kaki ou un jean pour créer un look raffiné sans effort, qui s'adapte aussi bien à la journée qu'à la soirée.</v>
      </c>
      <c r="BO6"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7" ht="50" hidden="1" customHeight="1" spans="1:67">
      <c r="A7" s="4" t="s">
        <v>86</v>
      </c>
      <c r="B7" s="4" t="s">
        <v>87</v>
      </c>
      <c r="C7" s="4" t="s">
        <v>1</v>
      </c>
      <c r="D7" s="4" t="str">
        <f t="shared" si="1"/>
        <v>Cardigan Homme Capuche Lin Manches Longues Ample Cintré</v>
      </c>
      <c r="E7" s="4" t="str">
        <f t="shared" si="2"/>
        <v>Coton Fin Respirant Anti-UV Cordon de Serrage Demi-Ouverture Ourlet Courbe Vacances Décontracté Cardigan Essentiel</v>
      </c>
      <c r="F7" s="4">
        <f t="shared" si="0"/>
        <v>114</v>
      </c>
      <c r="G7" s="4"/>
      <c r="H7" s="4"/>
      <c r="I7" s="4" t="s">
        <v>88</v>
      </c>
      <c r="J7" s="4" t="s">
        <v>37</v>
      </c>
      <c r="K7" s="4" t="s">
        <v>37</v>
      </c>
      <c r="L7" s="4" t="s">
        <v>89</v>
      </c>
      <c r="M7" s="4" t="s">
        <v>90</v>
      </c>
      <c r="N7" s="4" t="s">
        <v>91</v>
      </c>
      <c r="O7" s="4"/>
      <c r="P7" s="4" t="s">
        <v>92</v>
      </c>
      <c r="Q7" s="4" t="s">
        <v>93</v>
      </c>
      <c r="R7" s="4" t="s">
        <v>94</v>
      </c>
      <c r="S7" s="4" t="s">
        <v>95</v>
      </c>
      <c r="T7" s="4"/>
      <c r="U7" s="4"/>
      <c r="V7" s="4"/>
      <c r="W7" s="4"/>
      <c r="X7" s="4"/>
      <c r="Y7" s="4" t="s">
        <v>17</v>
      </c>
      <c r="Z7" s="4"/>
      <c r="AA7" s="4" t="s">
        <v>92</v>
      </c>
      <c r="AB7" s="4"/>
      <c r="AC7" s="4" t="s">
        <v>93</v>
      </c>
      <c r="AD7" s="4"/>
      <c r="AE7" s="4" t="s">
        <v>94</v>
      </c>
      <c r="AF7" s="4"/>
      <c r="AG7" s="4" t="s">
        <v>95</v>
      </c>
      <c r="AH7" s="4" t="s">
        <v>45</v>
      </c>
      <c r="AI7" s="4" t="s">
        <v>45</v>
      </c>
      <c r="AJ7" s="4" t="s">
        <v>45</v>
      </c>
      <c r="AK7" s="4" t="s">
        <v>45</v>
      </c>
      <c r="AL7" s="4" t="s">
        <v>45</v>
      </c>
      <c r="AM7" s="4" t="s">
        <v>45</v>
      </c>
      <c r="AN7" s="4" t="s">
        <v>45</v>
      </c>
      <c r="AO7" s="4" t="s">
        <v>45</v>
      </c>
      <c r="AP7" s="4" t="s">
        <v>45</v>
      </c>
      <c r="AQ7" s="4" t="s">
        <v>45</v>
      </c>
      <c r="AR7" s="4" t="s">
        <v>18</v>
      </c>
      <c r="AS7" s="4" t="s">
        <v>90</v>
      </c>
      <c r="AT7" s="4">
        <v>23.59</v>
      </c>
      <c r="AU7" s="4">
        <v>28.31</v>
      </c>
      <c r="AV7" s="4">
        <v>20.33</v>
      </c>
      <c r="AW7" s="4">
        <v>26.33</v>
      </c>
      <c r="AY7" t="str">
        <f t="shared" si="3"/>
        <v>Sans col</v>
      </c>
      <c r="AZ7" t="str">
        <f t="shared" si="4"/>
        <v>Décontracté</v>
      </c>
      <c r="BA7" t="str">
        <f t="shared" si="5"/>
        <v>Minimaliste</v>
      </c>
      <c r="BB7" t="str">
        <f t="shared" si="6"/>
        <v>Chemise</v>
      </c>
      <c r="BC7" t="str">
        <f t="shared" si="7"/>
        <v>Surdimensionnée</v>
      </c>
      <c r="BD7" t="str">
        <f t="shared" si="8"/>
        <v>Plaine</v>
      </c>
      <c r="BE7" t="str">
        <f t="shared" si="9"/>
        <v>À capuche</v>
      </c>
      <c r="BG7" t="str">
        <f t="shared" si="10"/>
        <v>Manches longues</v>
      </c>
      <c r="BH7" t="str">
        <f t="shared" si="11"/>
        <v>Manchette</v>
      </c>
      <c r="BI7" t="str">
        <f t="shared" si="12"/>
        <v>Bouton</v>
      </c>
      <c r="BK7" t="str">
        <f t="shared" si="13"/>
        <v>Tissu respirant : profitez d’un confort optimal au quotidien, car nos chemises pour homme sont confectionnées dans un tissu de qualité supérieure, très respirant, qui vous garantit un confort optimal.</v>
      </c>
      <c r="BL7" t="str">
        <f t="shared" si="14"/>
        <v>Design classique et tendance : cette chemise intemporelle, au style très tendance, allie élégance et charme décontracté, ce qui la rend idéale pour toutes les occasions décontractées.</v>
      </c>
      <c r="BM7"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7" t="str">
        <f t="shared" si="16"/>
        <v>Facile à assortir : associez cette chemise unie classique à un short, un pantalon kaki ou un jean pour créer un look raffiné sans effort, qui s'adapte aussi bien à la journée qu'à la soirée.</v>
      </c>
      <c r="BO7"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8" ht="50" hidden="1" customHeight="1" spans="1:67">
      <c r="A8" s="4" t="s">
        <v>96</v>
      </c>
      <c r="B8" s="4" t="s">
        <v>97</v>
      </c>
      <c r="C8" s="4" t="s">
        <v>1</v>
      </c>
      <c r="D8" s="4" t="str">
        <f t="shared" si="1"/>
        <v>Cardigan Homme Capuche Lin Manches Longues Ample Cintré</v>
      </c>
      <c r="E8" s="4" t="str">
        <f t="shared" si="2"/>
        <v>Coton Fin Respirant Anti-UV Cordon de Serrage Demi-Ouverture Ourlet Courbe Vacances Décontracté Cardigan Essentiel</v>
      </c>
      <c r="F8" s="4">
        <f t="shared" si="0"/>
        <v>114</v>
      </c>
      <c r="G8" s="4"/>
      <c r="H8" s="4"/>
      <c r="I8" s="4" t="s">
        <v>98</v>
      </c>
      <c r="J8" s="4" t="s">
        <v>99</v>
      </c>
      <c r="K8" s="4" t="s">
        <v>100</v>
      </c>
      <c r="L8" s="4" t="s">
        <v>38</v>
      </c>
      <c r="M8" s="4" t="s">
        <v>101</v>
      </c>
      <c r="N8" s="4" t="s">
        <v>102</v>
      </c>
      <c r="O8" s="4"/>
      <c r="P8" s="4" t="s">
        <v>103</v>
      </c>
      <c r="Q8" s="4" t="s">
        <v>104</v>
      </c>
      <c r="R8" s="4" t="s">
        <v>105</v>
      </c>
      <c r="S8" s="4" t="s">
        <v>106</v>
      </c>
      <c r="T8" s="4"/>
      <c r="U8" s="4"/>
      <c r="V8" s="4"/>
      <c r="W8" s="4"/>
      <c r="X8" s="4"/>
      <c r="Y8" s="4" t="s">
        <v>17</v>
      </c>
      <c r="Z8" s="4"/>
      <c r="AA8" s="4" t="s">
        <v>103</v>
      </c>
      <c r="AB8" s="4"/>
      <c r="AC8" s="4" t="s">
        <v>104</v>
      </c>
      <c r="AD8" s="4"/>
      <c r="AE8" s="4" t="s">
        <v>105</v>
      </c>
      <c r="AF8" s="4"/>
      <c r="AG8" s="4" t="s">
        <v>106</v>
      </c>
      <c r="AH8" s="4" t="s">
        <v>45</v>
      </c>
      <c r="AI8" s="4" t="s">
        <v>45</v>
      </c>
      <c r="AJ8" s="4" t="s">
        <v>45</v>
      </c>
      <c r="AK8" s="4" t="s">
        <v>45</v>
      </c>
      <c r="AL8" s="4" t="s">
        <v>45</v>
      </c>
      <c r="AM8" s="4" t="s">
        <v>45</v>
      </c>
      <c r="AN8" s="4" t="s">
        <v>45</v>
      </c>
      <c r="AO8" s="4" t="s">
        <v>45</v>
      </c>
      <c r="AP8" s="4" t="s">
        <v>45</v>
      </c>
      <c r="AQ8" s="4" t="s">
        <v>45</v>
      </c>
      <c r="AR8" s="4" t="s">
        <v>18</v>
      </c>
      <c r="AS8" s="4" t="s">
        <v>101</v>
      </c>
      <c r="AT8" s="4">
        <v>23.37</v>
      </c>
      <c r="AU8" s="4">
        <v>28.04</v>
      </c>
      <c r="AV8" s="4">
        <v>20.06</v>
      </c>
      <c r="AW8" s="4">
        <v>26.06</v>
      </c>
      <c r="AY8" t="str">
        <f t="shared" si="3"/>
        <v>Sans col</v>
      </c>
      <c r="AZ8" t="str">
        <f t="shared" si="4"/>
        <v>Décontracté</v>
      </c>
      <c r="BA8" t="str">
        <f t="shared" si="5"/>
        <v>Minimaliste</v>
      </c>
      <c r="BB8" t="str">
        <f t="shared" si="6"/>
        <v>Chemise</v>
      </c>
      <c r="BC8" t="str">
        <f t="shared" si="7"/>
        <v>Surdimensionnée</v>
      </c>
      <c r="BD8" t="str">
        <f t="shared" si="8"/>
        <v>Plaine</v>
      </c>
      <c r="BE8" t="str">
        <f t="shared" si="9"/>
        <v>À capuche</v>
      </c>
      <c r="BG8" t="str">
        <f t="shared" si="10"/>
        <v>Manches longues</v>
      </c>
      <c r="BH8" t="str">
        <f t="shared" si="11"/>
        <v>Manchette</v>
      </c>
      <c r="BI8" t="str">
        <f t="shared" si="12"/>
        <v>Bouton</v>
      </c>
      <c r="BK8" t="str">
        <f t="shared" si="13"/>
        <v>Tissu respirant : profitez d’un confort optimal au quotidien, car nos chemises pour homme sont confectionnées dans un tissu de qualité supérieure, très respirant, qui vous garantit un confort optimal.</v>
      </c>
      <c r="BL8" t="str">
        <f t="shared" si="14"/>
        <v>Design classique et tendance : cette chemise intemporelle, au style très tendance, allie élégance et charme décontracté, ce qui la rend idéale pour toutes les occasions décontractées.</v>
      </c>
      <c r="BM8"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8" t="str">
        <f t="shared" si="16"/>
        <v>Facile à assortir : associez cette chemise unie classique à un short, un pantalon kaki ou un jean pour créer un look raffiné sans effort, qui s'adapte aussi bien à la journée qu'à la soirée.</v>
      </c>
      <c r="BO8"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9" ht="50" hidden="1" customHeight="1" spans="1:67">
      <c r="A9" s="4" t="s">
        <v>107</v>
      </c>
      <c r="B9" s="4" t="s">
        <v>108</v>
      </c>
      <c r="C9" s="4" t="s">
        <v>1</v>
      </c>
      <c r="D9" s="4" t="str">
        <f t="shared" si="1"/>
        <v>Cardigan Homme Capuche Lin Manches Longues Ample Cintré</v>
      </c>
      <c r="E9" s="4" t="str">
        <f t="shared" si="2"/>
        <v>Coton Fin Respirant Anti-UV Cordon de Serrage Demi-Ouverture Ourlet Courbe Vacances Décontracté Cardigan Essentiel</v>
      </c>
      <c r="F9" s="4">
        <f t="shared" si="0"/>
        <v>114</v>
      </c>
      <c r="G9" s="4"/>
      <c r="H9" s="4"/>
      <c r="I9" s="4" t="s">
        <v>109</v>
      </c>
      <c r="J9" s="4" t="s">
        <v>99</v>
      </c>
      <c r="K9" s="4" t="s">
        <v>100</v>
      </c>
      <c r="L9" s="4" t="s">
        <v>49</v>
      </c>
      <c r="M9" s="4" t="s">
        <v>110</v>
      </c>
      <c r="N9" s="4" t="s">
        <v>111</v>
      </c>
      <c r="O9" s="4"/>
      <c r="P9" s="4" t="s">
        <v>112</v>
      </c>
      <c r="Q9" s="4" t="s">
        <v>113</v>
      </c>
      <c r="R9" s="4" t="s">
        <v>114</v>
      </c>
      <c r="S9" s="4" t="s">
        <v>115</v>
      </c>
      <c r="T9" s="4"/>
      <c r="U9" s="4"/>
      <c r="V9" s="4"/>
      <c r="W9" s="4"/>
      <c r="X9" s="4"/>
      <c r="Y9" s="4" t="s">
        <v>17</v>
      </c>
      <c r="Z9" s="4"/>
      <c r="AA9" s="4" t="s">
        <v>112</v>
      </c>
      <c r="AB9" s="4"/>
      <c r="AC9" s="4" t="s">
        <v>113</v>
      </c>
      <c r="AD9" s="4"/>
      <c r="AE9" s="4" t="s">
        <v>114</v>
      </c>
      <c r="AF9" s="4"/>
      <c r="AG9" s="4" t="s">
        <v>115</v>
      </c>
      <c r="AH9" s="4" t="s">
        <v>45</v>
      </c>
      <c r="AI9" s="4" t="s">
        <v>45</v>
      </c>
      <c r="AJ9" s="4" t="s">
        <v>45</v>
      </c>
      <c r="AK9" s="4" t="s">
        <v>45</v>
      </c>
      <c r="AL9" s="4" t="s">
        <v>45</v>
      </c>
      <c r="AM9" s="4" t="s">
        <v>45</v>
      </c>
      <c r="AN9" s="4" t="s">
        <v>45</v>
      </c>
      <c r="AO9" s="4" t="s">
        <v>45</v>
      </c>
      <c r="AP9" s="4" t="s">
        <v>45</v>
      </c>
      <c r="AQ9" s="4" t="s">
        <v>45</v>
      </c>
      <c r="AR9" s="4" t="s">
        <v>18</v>
      </c>
      <c r="AS9" s="4" t="s">
        <v>110</v>
      </c>
      <c r="AT9" s="4">
        <v>23.51</v>
      </c>
      <c r="AU9" s="4">
        <v>28.21</v>
      </c>
      <c r="AV9" s="4">
        <v>20.23</v>
      </c>
      <c r="AW9" s="4">
        <v>26.23</v>
      </c>
      <c r="AY9" t="str">
        <f t="shared" si="3"/>
        <v>Sans col</v>
      </c>
      <c r="AZ9" t="str">
        <f t="shared" si="4"/>
        <v>Décontracté</v>
      </c>
      <c r="BA9" t="str">
        <f t="shared" si="5"/>
        <v>Minimaliste</v>
      </c>
      <c r="BB9" t="str">
        <f t="shared" si="6"/>
        <v>Chemise</v>
      </c>
      <c r="BC9" t="str">
        <f t="shared" si="7"/>
        <v>Surdimensionnée</v>
      </c>
      <c r="BD9" t="str">
        <f t="shared" si="8"/>
        <v>Plaine</v>
      </c>
      <c r="BE9" t="str">
        <f t="shared" si="9"/>
        <v>À capuche</v>
      </c>
      <c r="BG9" t="str">
        <f t="shared" si="10"/>
        <v>Manches longues</v>
      </c>
      <c r="BH9" t="str">
        <f t="shared" si="11"/>
        <v>Manchette</v>
      </c>
      <c r="BI9" t="str">
        <f t="shared" si="12"/>
        <v>Bouton</v>
      </c>
      <c r="BK9" t="str">
        <f t="shared" si="13"/>
        <v>Tissu respirant : profitez d’un confort optimal au quotidien, car nos chemises pour homme sont confectionnées dans un tissu de qualité supérieure, très respirant, qui vous garantit un confort optimal.</v>
      </c>
      <c r="BL9" t="str">
        <f t="shared" si="14"/>
        <v>Design classique et tendance : cette chemise intemporelle, au style très tendance, allie élégance et charme décontracté, ce qui la rend idéale pour toutes les occasions décontractées.</v>
      </c>
      <c r="BM9"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9" t="str">
        <f t="shared" si="16"/>
        <v>Facile à assortir : associez cette chemise unie classique à un short, un pantalon kaki ou un jean pour créer un look raffiné sans effort, qui s'adapte aussi bien à la journée qu'à la soirée.</v>
      </c>
      <c r="BO9"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10" ht="50" hidden="1" customHeight="1" spans="1:67">
      <c r="A10" s="4" t="s">
        <v>116</v>
      </c>
      <c r="B10" s="4" t="s">
        <v>117</v>
      </c>
      <c r="C10" s="4" t="s">
        <v>1</v>
      </c>
      <c r="D10" s="4" t="str">
        <f t="shared" si="1"/>
        <v>Cardigan Homme Capuche Lin Manches Longues Ample Cintré</v>
      </c>
      <c r="E10" s="4" t="str">
        <f t="shared" si="2"/>
        <v>Coton Fin Respirant Anti-UV Cordon de Serrage Demi-Ouverture Ourlet Courbe Vacances Décontracté Cardigan Essentiel</v>
      </c>
      <c r="F10" s="4">
        <f t="shared" si="0"/>
        <v>114</v>
      </c>
      <c r="G10" s="4"/>
      <c r="H10" s="4"/>
      <c r="I10" s="4" t="s">
        <v>118</v>
      </c>
      <c r="J10" s="4" t="s">
        <v>99</v>
      </c>
      <c r="K10" s="4" t="s">
        <v>100</v>
      </c>
      <c r="L10" s="4" t="s">
        <v>59</v>
      </c>
      <c r="M10" s="4" t="s">
        <v>119</v>
      </c>
      <c r="N10" s="4" t="s">
        <v>120</v>
      </c>
      <c r="O10" s="4"/>
      <c r="P10" s="4" t="s">
        <v>121</v>
      </c>
      <c r="Q10" s="4" t="s">
        <v>122</v>
      </c>
      <c r="R10" s="4" t="s">
        <v>123</v>
      </c>
      <c r="S10" s="4" t="s">
        <v>124</v>
      </c>
      <c r="T10" s="4"/>
      <c r="U10" s="4"/>
      <c r="V10" s="4"/>
      <c r="W10" s="4"/>
      <c r="X10" s="4"/>
      <c r="Y10" s="4" t="s">
        <v>17</v>
      </c>
      <c r="Z10" s="4"/>
      <c r="AA10" s="4" t="s">
        <v>121</v>
      </c>
      <c r="AB10" s="4"/>
      <c r="AC10" s="4" t="s">
        <v>122</v>
      </c>
      <c r="AD10" s="4"/>
      <c r="AE10" s="4" t="s">
        <v>123</v>
      </c>
      <c r="AF10" s="4"/>
      <c r="AG10" s="4" t="s">
        <v>124</v>
      </c>
      <c r="AH10" s="4" t="s">
        <v>45</v>
      </c>
      <c r="AI10" s="4" t="s">
        <v>45</v>
      </c>
      <c r="AJ10" s="4" t="s">
        <v>45</v>
      </c>
      <c r="AK10" s="4" t="s">
        <v>45</v>
      </c>
      <c r="AL10" s="4" t="s">
        <v>45</v>
      </c>
      <c r="AM10" s="4" t="s">
        <v>45</v>
      </c>
      <c r="AN10" s="4" t="s">
        <v>45</v>
      </c>
      <c r="AO10" s="4" t="s">
        <v>45</v>
      </c>
      <c r="AP10" s="4" t="s">
        <v>45</v>
      </c>
      <c r="AQ10" s="4" t="s">
        <v>45</v>
      </c>
      <c r="AR10" s="4" t="s">
        <v>18</v>
      </c>
      <c r="AS10" s="4" t="s">
        <v>119</v>
      </c>
      <c r="AT10" s="4">
        <v>23.89</v>
      </c>
      <c r="AU10" s="4">
        <v>28.67</v>
      </c>
      <c r="AV10" s="4">
        <v>20.69</v>
      </c>
      <c r="AW10" s="4">
        <v>26.69</v>
      </c>
      <c r="AY10" t="str">
        <f t="shared" si="3"/>
        <v>Sans col</v>
      </c>
      <c r="AZ10" t="str">
        <f t="shared" si="4"/>
        <v>Décontracté</v>
      </c>
      <c r="BA10" t="str">
        <f t="shared" si="5"/>
        <v>Minimaliste</v>
      </c>
      <c r="BB10" t="str">
        <f t="shared" si="6"/>
        <v>Chemise</v>
      </c>
      <c r="BC10" t="str">
        <f t="shared" si="7"/>
        <v>Surdimensionnée</v>
      </c>
      <c r="BD10" t="str">
        <f t="shared" si="8"/>
        <v>Plaine</v>
      </c>
      <c r="BE10" t="str">
        <f t="shared" si="9"/>
        <v>À capuche</v>
      </c>
      <c r="BG10" t="str">
        <f t="shared" si="10"/>
        <v>Manches longues</v>
      </c>
      <c r="BH10" t="str">
        <f t="shared" si="11"/>
        <v>Manchette</v>
      </c>
      <c r="BI10" t="str">
        <f t="shared" si="12"/>
        <v>Bouton</v>
      </c>
      <c r="BK10" t="str">
        <f t="shared" si="13"/>
        <v>Tissu respirant : profitez d’un confort optimal au quotidien, car nos chemises pour homme sont confectionnées dans un tissu de qualité supérieure, très respirant, qui vous garantit un confort optimal.</v>
      </c>
      <c r="BL10" t="str">
        <f t="shared" si="14"/>
        <v>Design classique et tendance : cette chemise intemporelle, au style très tendance, allie élégance et charme décontracté, ce qui la rend idéale pour toutes les occasions décontractées.</v>
      </c>
      <c r="BM10"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10" t="str">
        <f t="shared" si="16"/>
        <v>Facile à assortir : associez cette chemise unie classique à un short, un pantalon kaki ou un jean pour créer un look raffiné sans effort, qui s'adapte aussi bien à la journée qu'à la soirée.</v>
      </c>
      <c r="BO10"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11" ht="50" hidden="1" customHeight="1" spans="1:67">
      <c r="A11" s="4" t="s">
        <v>125</v>
      </c>
      <c r="B11" s="4" t="s">
        <v>126</v>
      </c>
      <c r="C11" s="4" t="s">
        <v>1</v>
      </c>
      <c r="D11" s="4" t="str">
        <f t="shared" si="1"/>
        <v>Cardigan Homme Capuche Lin Manches Longues Ample Cintré</v>
      </c>
      <c r="E11" s="4" t="str">
        <f t="shared" si="2"/>
        <v>Coton Fin Respirant Anti-UV Cordon de Serrage Demi-Ouverture Ourlet Courbe Vacances Décontracté Cardigan Essentiel</v>
      </c>
      <c r="F11" s="4">
        <f t="shared" si="0"/>
        <v>114</v>
      </c>
      <c r="G11" s="4"/>
      <c r="H11" s="4"/>
      <c r="I11" s="4" t="s">
        <v>127</v>
      </c>
      <c r="J11" s="4" t="s">
        <v>99</v>
      </c>
      <c r="K11" s="4" t="s">
        <v>100</v>
      </c>
      <c r="L11" s="4" t="s">
        <v>69</v>
      </c>
      <c r="M11" s="4" t="s">
        <v>128</v>
      </c>
      <c r="N11" s="4" t="s">
        <v>129</v>
      </c>
      <c r="O11" s="4"/>
      <c r="P11" s="4" t="s">
        <v>130</v>
      </c>
      <c r="Q11" s="4" t="s">
        <v>131</v>
      </c>
      <c r="R11" s="4" t="s">
        <v>132</v>
      </c>
      <c r="S11" s="4" t="s">
        <v>133</v>
      </c>
      <c r="T11" s="4"/>
      <c r="U11" s="4"/>
      <c r="V11" s="4"/>
      <c r="W11" s="4"/>
      <c r="X11" s="4"/>
      <c r="Y11" s="4" t="s">
        <v>17</v>
      </c>
      <c r="Z11" s="4"/>
      <c r="AA11" s="4" t="s">
        <v>130</v>
      </c>
      <c r="AB11" s="4"/>
      <c r="AC11" s="4" t="s">
        <v>131</v>
      </c>
      <c r="AD11" s="4"/>
      <c r="AE11" s="4" t="s">
        <v>132</v>
      </c>
      <c r="AF11" s="4"/>
      <c r="AG11" s="4" t="s">
        <v>133</v>
      </c>
      <c r="AH11" s="4" t="s">
        <v>45</v>
      </c>
      <c r="AI11" s="4" t="s">
        <v>45</v>
      </c>
      <c r="AJ11" s="4" t="s">
        <v>45</v>
      </c>
      <c r="AK11" s="4" t="s">
        <v>45</v>
      </c>
      <c r="AL11" s="4" t="s">
        <v>45</v>
      </c>
      <c r="AM11" s="4" t="s">
        <v>45</v>
      </c>
      <c r="AN11" s="4" t="s">
        <v>45</v>
      </c>
      <c r="AO11" s="4" t="s">
        <v>45</v>
      </c>
      <c r="AP11" s="4" t="s">
        <v>45</v>
      </c>
      <c r="AQ11" s="4" t="s">
        <v>45</v>
      </c>
      <c r="AR11" s="4" t="s">
        <v>18</v>
      </c>
      <c r="AS11" s="4" t="s">
        <v>128</v>
      </c>
      <c r="AT11" s="4">
        <v>23.5</v>
      </c>
      <c r="AU11" s="4">
        <v>28.2</v>
      </c>
      <c r="AV11" s="4">
        <v>20.22</v>
      </c>
      <c r="AW11" s="4">
        <v>26.22</v>
      </c>
      <c r="AY11" t="str">
        <f t="shared" si="3"/>
        <v>Sans col</v>
      </c>
      <c r="AZ11" t="str">
        <f t="shared" si="4"/>
        <v>Décontracté</v>
      </c>
      <c r="BA11" t="str">
        <f t="shared" si="5"/>
        <v>Minimaliste</v>
      </c>
      <c r="BB11" t="str">
        <f t="shared" si="6"/>
        <v>Chemise</v>
      </c>
      <c r="BC11" t="str">
        <f t="shared" si="7"/>
        <v>Surdimensionnée</v>
      </c>
      <c r="BD11" t="str">
        <f t="shared" si="8"/>
        <v>Plaine</v>
      </c>
      <c r="BE11" t="str">
        <f t="shared" si="9"/>
        <v>À capuche</v>
      </c>
      <c r="BG11" t="str">
        <f t="shared" si="10"/>
        <v>Manches longues</v>
      </c>
      <c r="BH11" t="str">
        <f t="shared" si="11"/>
        <v>Manchette</v>
      </c>
      <c r="BI11" t="str">
        <f t="shared" si="12"/>
        <v>Bouton</v>
      </c>
      <c r="BK11" t="str">
        <f t="shared" si="13"/>
        <v>Tissu respirant : profitez d’un confort optimal au quotidien, car nos chemises pour homme sont confectionnées dans un tissu de qualité supérieure, très respirant, qui vous garantit un confort optimal.</v>
      </c>
      <c r="BL11" t="str">
        <f t="shared" si="14"/>
        <v>Design classique et tendance : cette chemise intemporelle, au style très tendance, allie élégance et charme décontracté, ce qui la rend idéale pour toutes les occasions décontractées.</v>
      </c>
      <c r="BM11"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11" t="str">
        <f t="shared" si="16"/>
        <v>Facile à assortir : associez cette chemise unie classique à un short, un pantalon kaki ou un jean pour créer un look raffiné sans effort, qui s'adapte aussi bien à la journée qu'à la soirée.</v>
      </c>
      <c r="BO11"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12" ht="50" hidden="1" customHeight="1" spans="1:67">
      <c r="A12" s="4" t="s">
        <v>134</v>
      </c>
      <c r="B12" s="4" t="s">
        <v>135</v>
      </c>
      <c r="C12" s="4" t="s">
        <v>1</v>
      </c>
      <c r="D12" s="4" t="str">
        <f t="shared" si="1"/>
        <v>Cardigan Homme Capuche Lin Manches Longues Ample Cintré</v>
      </c>
      <c r="E12" s="4" t="str">
        <f t="shared" si="2"/>
        <v>Coton Fin Respirant Anti-UV Cordon de Serrage Demi-Ouverture Ourlet Courbe Vacances Décontracté Cardigan Essentiel</v>
      </c>
      <c r="F12" s="4">
        <f t="shared" si="0"/>
        <v>114</v>
      </c>
      <c r="G12" s="4"/>
      <c r="H12" s="4"/>
      <c r="I12" s="4" t="s">
        <v>136</v>
      </c>
      <c r="J12" s="4" t="s">
        <v>99</v>
      </c>
      <c r="K12" s="4" t="s">
        <v>100</v>
      </c>
      <c r="L12" s="4" t="s">
        <v>79</v>
      </c>
      <c r="M12" s="4" t="s">
        <v>137</v>
      </c>
      <c r="N12" s="4" t="s">
        <v>138</v>
      </c>
      <c r="O12" s="4"/>
      <c r="P12" s="4" t="s">
        <v>139</v>
      </c>
      <c r="Q12" s="4" t="s">
        <v>140</v>
      </c>
      <c r="R12" s="4" t="s">
        <v>141</v>
      </c>
      <c r="S12" s="4" t="s">
        <v>142</v>
      </c>
      <c r="T12" s="4"/>
      <c r="U12" s="4"/>
      <c r="V12" s="4"/>
      <c r="W12" s="4"/>
      <c r="X12" s="4"/>
      <c r="Y12" s="4" t="s">
        <v>17</v>
      </c>
      <c r="Z12" s="4"/>
      <c r="AA12" s="4" t="s">
        <v>139</v>
      </c>
      <c r="AB12" s="4"/>
      <c r="AC12" s="4" t="s">
        <v>140</v>
      </c>
      <c r="AD12" s="4"/>
      <c r="AE12" s="4" t="s">
        <v>141</v>
      </c>
      <c r="AF12" s="4"/>
      <c r="AG12" s="4" t="s">
        <v>142</v>
      </c>
      <c r="AH12" s="4" t="s">
        <v>45</v>
      </c>
      <c r="AI12" s="4" t="s">
        <v>45</v>
      </c>
      <c r="AJ12" s="4" t="s">
        <v>45</v>
      </c>
      <c r="AK12" s="4" t="s">
        <v>45</v>
      </c>
      <c r="AL12" s="4" t="s">
        <v>45</v>
      </c>
      <c r="AM12" s="4" t="s">
        <v>45</v>
      </c>
      <c r="AN12" s="4" t="s">
        <v>45</v>
      </c>
      <c r="AO12" s="4" t="s">
        <v>45</v>
      </c>
      <c r="AP12" s="4" t="s">
        <v>45</v>
      </c>
      <c r="AQ12" s="4" t="s">
        <v>45</v>
      </c>
      <c r="AR12" s="4" t="s">
        <v>18</v>
      </c>
      <c r="AS12" s="4" t="s">
        <v>137</v>
      </c>
      <c r="AT12" s="4">
        <v>23.37</v>
      </c>
      <c r="AU12" s="4">
        <v>28.04</v>
      </c>
      <c r="AV12" s="4">
        <v>20.06</v>
      </c>
      <c r="AW12" s="4">
        <v>26.06</v>
      </c>
      <c r="AY12" t="str">
        <f t="shared" si="3"/>
        <v>Sans col</v>
      </c>
      <c r="AZ12" t="str">
        <f t="shared" si="4"/>
        <v>Décontracté</v>
      </c>
      <c r="BA12" t="str">
        <f t="shared" si="5"/>
        <v>Minimaliste</v>
      </c>
      <c r="BB12" t="str">
        <f t="shared" si="6"/>
        <v>Chemise</v>
      </c>
      <c r="BC12" t="str">
        <f t="shared" si="7"/>
        <v>Surdimensionnée</v>
      </c>
      <c r="BD12" t="str">
        <f t="shared" si="8"/>
        <v>Plaine</v>
      </c>
      <c r="BE12" t="str">
        <f t="shared" si="9"/>
        <v>À capuche</v>
      </c>
      <c r="BG12" t="str">
        <f t="shared" si="10"/>
        <v>Manches longues</v>
      </c>
      <c r="BH12" t="str">
        <f t="shared" si="11"/>
        <v>Manchette</v>
      </c>
      <c r="BI12" t="str">
        <f t="shared" si="12"/>
        <v>Bouton</v>
      </c>
      <c r="BK12" t="str">
        <f t="shared" si="13"/>
        <v>Tissu respirant : profitez d’un confort optimal au quotidien, car nos chemises pour homme sont confectionnées dans un tissu de qualité supérieure, très respirant, qui vous garantit un confort optimal.</v>
      </c>
      <c r="BL12" t="str">
        <f t="shared" si="14"/>
        <v>Design classique et tendance : cette chemise intemporelle, au style très tendance, allie élégance et charme décontracté, ce qui la rend idéale pour toutes les occasions décontractées.</v>
      </c>
      <c r="BM12"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12" t="str">
        <f t="shared" si="16"/>
        <v>Facile à assortir : associez cette chemise unie classique à un short, un pantalon kaki ou un jean pour créer un look raffiné sans effort, qui s'adapte aussi bien à la journée qu'à la soirée.</v>
      </c>
      <c r="BO12"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13" ht="50" hidden="1" customHeight="1" spans="1:67">
      <c r="A13" s="4" t="s">
        <v>143</v>
      </c>
      <c r="B13" s="4" t="s">
        <v>144</v>
      </c>
      <c r="C13" s="4" t="s">
        <v>1</v>
      </c>
      <c r="D13" s="4" t="str">
        <f t="shared" si="1"/>
        <v>Cardigan Homme Capuche Lin Manches Longues Ample Cintré</v>
      </c>
      <c r="E13" s="4" t="str">
        <f t="shared" si="2"/>
        <v>Coton Fin Respirant Anti-UV Cordon de Serrage Demi-Ouverture Ourlet Courbe Vacances Décontracté Cardigan Essentiel</v>
      </c>
      <c r="F13" s="4">
        <f t="shared" si="0"/>
        <v>114</v>
      </c>
      <c r="G13" s="4"/>
      <c r="H13" s="4"/>
      <c r="I13" s="4" t="s">
        <v>145</v>
      </c>
      <c r="J13" s="4" t="s">
        <v>99</v>
      </c>
      <c r="K13" s="4" t="s">
        <v>100</v>
      </c>
      <c r="L13" s="4" t="s">
        <v>89</v>
      </c>
      <c r="M13" s="4" t="s">
        <v>146</v>
      </c>
      <c r="N13" s="4" t="s">
        <v>147</v>
      </c>
      <c r="O13" s="4"/>
      <c r="P13" s="4" t="s">
        <v>148</v>
      </c>
      <c r="Q13" s="4" t="s">
        <v>149</v>
      </c>
      <c r="R13" s="4" t="s">
        <v>150</v>
      </c>
      <c r="S13" s="4" t="s">
        <v>151</v>
      </c>
      <c r="T13" s="4"/>
      <c r="U13" s="4"/>
      <c r="V13" s="4"/>
      <c r="W13" s="4"/>
      <c r="X13" s="4"/>
      <c r="Y13" s="4" t="s">
        <v>17</v>
      </c>
      <c r="Z13" s="4"/>
      <c r="AA13" s="4" t="s">
        <v>148</v>
      </c>
      <c r="AB13" s="4"/>
      <c r="AC13" s="4" t="s">
        <v>149</v>
      </c>
      <c r="AD13" s="4"/>
      <c r="AE13" s="4" t="s">
        <v>150</v>
      </c>
      <c r="AF13" s="4"/>
      <c r="AG13" s="4" t="s">
        <v>151</v>
      </c>
      <c r="AH13" s="4" t="s">
        <v>45</v>
      </c>
      <c r="AI13" s="4" t="s">
        <v>45</v>
      </c>
      <c r="AJ13" s="4" t="s">
        <v>45</v>
      </c>
      <c r="AK13" s="4" t="s">
        <v>45</v>
      </c>
      <c r="AL13" s="4" t="s">
        <v>45</v>
      </c>
      <c r="AM13" s="4" t="s">
        <v>45</v>
      </c>
      <c r="AN13" s="4" t="s">
        <v>45</v>
      </c>
      <c r="AO13" s="4" t="s">
        <v>45</v>
      </c>
      <c r="AP13" s="4" t="s">
        <v>45</v>
      </c>
      <c r="AQ13" s="4" t="s">
        <v>45</v>
      </c>
      <c r="AR13" s="4" t="s">
        <v>18</v>
      </c>
      <c r="AS13" s="4" t="s">
        <v>146</v>
      </c>
      <c r="AT13" s="4">
        <v>23.39</v>
      </c>
      <c r="AU13" s="4">
        <v>28.07</v>
      </c>
      <c r="AV13" s="4">
        <v>20.09</v>
      </c>
      <c r="AW13" s="4">
        <v>26.09</v>
      </c>
      <c r="AY13" t="str">
        <f t="shared" si="3"/>
        <v>Sans col</v>
      </c>
      <c r="AZ13" t="str">
        <f t="shared" si="4"/>
        <v>Décontracté</v>
      </c>
      <c r="BA13" t="str">
        <f t="shared" si="5"/>
        <v>Minimaliste</v>
      </c>
      <c r="BB13" t="str">
        <f t="shared" si="6"/>
        <v>Chemise</v>
      </c>
      <c r="BC13" t="str">
        <f t="shared" si="7"/>
        <v>Surdimensionnée</v>
      </c>
      <c r="BD13" t="str">
        <f t="shared" si="8"/>
        <v>Plaine</v>
      </c>
      <c r="BE13" t="str">
        <f t="shared" si="9"/>
        <v>À capuche</v>
      </c>
      <c r="BG13" t="str">
        <f t="shared" si="10"/>
        <v>Manches longues</v>
      </c>
      <c r="BH13" t="str">
        <f t="shared" si="11"/>
        <v>Manchette</v>
      </c>
      <c r="BI13" t="str">
        <f t="shared" si="12"/>
        <v>Bouton</v>
      </c>
      <c r="BK13" t="str">
        <f t="shared" si="13"/>
        <v>Tissu respirant : profitez d’un confort optimal au quotidien, car nos chemises pour homme sont confectionnées dans un tissu de qualité supérieure, très respirant, qui vous garantit un confort optimal.</v>
      </c>
      <c r="BL13" t="str">
        <f t="shared" si="14"/>
        <v>Design classique et tendance : cette chemise intemporelle, au style très tendance, allie élégance et charme décontracté, ce qui la rend idéale pour toutes les occasions décontractées.</v>
      </c>
      <c r="BM13"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13" t="str">
        <f t="shared" si="16"/>
        <v>Facile à assortir : associez cette chemise unie classique à un short, un pantalon kaki ou un jean pour créer un look raffiné sans effort, qui s'adapte aussi bien à la journée qu'à la soirée.</v>
      </c>
      <c r="BO13"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14" ht="50" hidden="1" customHeight="1" spans="1:67">
      <c r="A14" s="4" t="s">
        <v>152</v>
      </c>
      <c r="B14" s="4" t="s">
        <v>153</v>
      </c>
      <c r="C14" s="4" t="s">
        <v>1</v>
      </c>
      <c r="D14" s="4" t="str">
        <f t="shared" si="1"/>
        <v>Cardigan Homme Capuche Lin Manches Longues Ample Cintré</v>
      </c>
      <c r="E14" s="4" t="str">
        <f t="shared" si="2"/>
        <v>Coton Fin Respirant Anti-UV Cordon de Serrage Demi-Ouverture Ourlet Courbe Vacances Décontracté Cardigan Essentiel</v>
      </c>
      <c r="F14" s="4">
        <f t="shared" si="0"/>
        <v>114</v>
      </c>
      <c r="G14" s="4"/>
      <c r="H14" s="4"/>
      <c r="I14" s="4" t="s">
        <v>154</v>
      </c>
      <c r="J14" s="4" t="s">
        <v>155</v>
      </c>
      <c r="K14" s="4" t="s">
        <v>156</v>
      </c>
      <c r="L14" s="4" t="s">
        <v>38</v>
      </c>
      <c r="M14" s="4" t="s">
        <v>128</v>
      </c>
      <c r="N14" s="4" t="s">
        <v>129</v>
      </c>
      <c r="O14" s="4"/>
      <c r="P14" s="4" t="s">
        <v>157</v>
      </c>
      <c r="Q14" s="4" t="s">
        <v>158</v>
      </c>
      <c r="R14" s="4" t="s">
        <v>159</v>
      </c>
      <c r="S14" s="4" t="s">
        <v>160</v>
      </c>
      <c r="T14" s="4" t="s">
        <v>161</v>
      </c>
      <c r="U14" s="4" t="s">
        <v>162</v>
      </c>
      <c r="V14" s="4" t="s">
        <v>163</v>
      </c>
      <c r="W14" s="4" t="s">
        <v>164</v>
      </c>
      <c r="X14" s="4"/>
      <c r="Y14" s="4" t="s">
        <v>17</v>
      </c>
      <c r="Z14" s="4"/>
      <c r="AA14" s="4" t="s">
        <v>157</v>
      </c>
      <c r="AB14" s="4"/>
      <c r="AC14" s="4" t="s">
        <v>158</v>
      </c>
      <c r="AD14" s="4"/>
      <c r="AE14" s="4" t="s">
        <v>159</v>
      </c>
      <c r="AF14" s="4"/>
      <c r="AG14" s="4" t="s">
        <v>160</v>
      </c>
      <c r="AH14" s="4"/>
      <c r="AI14" s="4" t="s">
        <v>161</v>
      </c>
      <c r="AJ14" s="4"/>
      <c r="AK14" s="4" t="s">
        <v>162</v>
      </c>
      <c r="AL14" s="4"/>
      <c r="AM14" s="4" t="s">
        <v>163</v>
      </c>
      <c r="AN14" s="4"/>
      <c r="AO14" s="4" t="s">
        <v>164</v>
      </c>
      <c r="AP14" s="4" t="s">
        <v>45</v>
      </c>
      <c r="AQ14" s="4" t="s">
        <v>45</v>
      </c>
      <c r="AR14" s="4" t="s">
        <v>18</v>
      </c>
      <c r="AS14" s="4" t="s">
        <v>128</v>
      </c>
      <c r="AT14" s="4">
        <v>23.5</v>
      </c>
      <c r="AU14" s="4">
        <v>28.2</v>
      </c>
      <c r="AV14" s="4">
        <v>20.22</v>
      </c>
      <c r="AW14" s="4">
        <v>26.22</v>
      </c>
      <c r="AY14" t="str">
        <f t="shared" si="3"/>
        <v>Sans col</v>
      </c>
      <c r="AZ14" t="str">
        <f t="shared" si="4"/>
        <v>Décontracté</v>
      </c>
      <c r="BA14" t="str">
        <f t="shared" si="5"/>
        <v>Minimaliste</v>
      </c>
      <c r="BB14" t="str">
        <f t="shared" si="6"/>
        <v>Chemise</v>
      </c>
      <c r="BC14" t="str">
        <f t="shared" si="7"/>
        <v>Surdimensionnée</v>
      </c>
      <c r="BD14" t="str">
        <f t="shared" si="8"/>
        <v>Plaine</v>
      </c>
      <c r="BE14" t="str">
        <f t="shared" si="9"/>
        <v>À capuche</v>
      </c>
      <c r="BG14" t="str">
        <f t="shared" si="10"/>
        <v>Manches longues</v>
      </c>
      <c r="BH14" t="str">
        <f t="shared" si="11"/>
        <v>Manchette</v>
      </c>
      <c r="BI14" t="str">
        <f t="shared" si="12"/>
        <v>Bouton</v>
      </c>
      <c r="BK14" t="str">
        <f t="shared" si="13"/>
        <v>Tissu respirant : profitez d’un confort optimal au quotidien, car nos chemises pour homme sont confectionnées dans un tissu de qualité supérieure, très respirant, qui vous garantit un confort optimal.</v>
      </c>
      <c r="BL14" t="str">
        <f t="shared" si="14"/>
        <v>Design classique et tendance : cette chemise intemporelle, au style très tendance, allie élégance et charme décontracté, ce qui la rend idéale pour toutes les occasions décontractées.</v>
      </c>
      <c r="BM14"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14" t="str">
        <f t="shared" si="16"/>
        <v>Facile à assortir : associez cette chemise unie classique à un short, un pantalon kaki ou un jean pour créer un look raffiné sans effort, qui s'adapte aussi bien à la journée qu'à la soirée.</v>
      </c>
      <c r="BO14"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15" ht="50" hidden="1" customHeight="1" spans="1:67">
      <c r="A15" s="4" t="s">
        <v>165</v>
      </c>
      <c r="B15" s="4" t="s">
        <v>166</v>
      </c>
      <c r="C15" s="4" t="s">
        <v>1</v>
      </c>
      <c r="D15" s="4" t="str">
        <f t="shared" si="1"/>
        <v>Cardigan Homme Capuche Lin Manches Longues Ample Cintré</v>
      </c>
      <c r="E15" s="4" t="str">
        <f t="shared" si="2"/>
        <v>Coton Fin Respirant Anti-UV Cordon de Serrage Demi-Ouverture Ourlet Courbe Vacances Décontracté Cardigan Essentiel</v>
      </c>
      <c r="F15" s="4">
        <f t="shared" si="0"/>
        <v>114</v>
      </c>
      <c r="G15" s="4"/>
      <c r="H15" s="4"/>
      <c r="I15" s="4" t="s">
        <v>167</v>
      </c>
      <c r="J15" s="4" t="s">
        <v>155</v>
      </c>
      <c r="K15" s="4" t="s">
        <v>156</v>
      </c>
      <c r="L15" s="4" t="s">
        <v>49</v>
      </c>
      <c r="M15" s="4" t="s">
        <v>168</v>
      </c>
      <c r="N15" s="4" t="s">
        <v>169</v>
      </c>
      <c r="O15" s="4"/>
      <c r="P15" s="4" t="s">
        <v>170</v>
      </c>
      <c r="Q15" s="4" t="s">
        <v>171</v>
      </c>
      <c r="R15" s="4" t="s">
        <v>172</v>
      </c>
      <c r="S15" s="4" t="s">
        <v>173</v>
      </c>
      <c r="T15" s="4" t="s">
        <v>174</v>
      </c>
      <c r="U15" s="4" t="s">
        <v>175</v>
      </c>
      <c r="V15" s="4" t="s">
        <v>176</v>
      </c>
      <c r="W15" s="4" t="s">
        <v>177</v>
      </c>
      <c r="X15" s="4"/>
      <c r="Y15" s="4" t="s">
        <v>17</v>
      </c>
      <c r="Z15" s="4"/>
      <c r="AA15" s="4" t="s">
        <v>170</v>
      </c>
      <c r="AB15" s="4"/>
      <c r="AC15" s="4" t="s">
        <v>171</v>
      </c>
      <c r="AD15" s="4"/>
      <c r="AE15" s="4" t="s">
        <v>172</v>
      </c>
      <c r="AF15" s="4"/>
      <c r="AG15" s="4" t="s">
        <v>173</v>
      </c>
      <c r="AH15" s="4"/>
      <c r="AI15" s="4" t="s">
        <v>174</v>
      </c>
      <c r="AJ15" s="4"/>
      <c r="AK15" s="4" t="s">
        <v>175</v>
      </c>
      <c r="AL15" s="4"/>
      <c r="AM15" s="4" t="s">
        <v>176</v>
      </c>
      <c r="AN15" s="4"/>
      <c r="AO15" s="4" t="s">
        <v>177</v>
      </c>
      <c r="AP15" s="4" t="s">
        <v>45</v>
      </c>
      <c r="AQ15" s="4" t="s">
        <v>45</v>
      </c>
      <c r="AR15" s="4" t="s">
        <v>18</v>
      </c>
      <c r="AS15" s="4" t="s">
        <v>168</v>
      </c>
      <c r="AT15" s="4">
        <v>23.62</v>
      </c>
      <c r="AU15" s="4">
        <v>28.34</v>
      </c>
      <c r="AV15" s="4">
        <v>20.36</v>
      </c>
      <c r="AW15" s="4">
        <v>26.36</v>
      </c>
      <c r="AY15" t="str">
        <f t="shared" si="3"/>
        <v>Sans col</v>
      </c>
      <c r="AZ15" t="str">
        <f t="shared" si="4"/>
        <v>Décontracté</v>
      </c>
      <c r="BA15" t="str">
        <f t="shared" si="5"/>
        <v>Minimaliste</v>
      </c>
      <c r="BB15" t="str">
        <f t="shared" si="6"/>
        <v>Chemise</v>
      </c>
      <c r="BC15" t="str">
        <f t="shared" si="7"/>
        <v>Surdimensionnée</v>
      </c>
      <c r="BD15" t="str">
        <f t="shared" si="8"/>
        <v>Plaine</v>
      </c>
      <c r="BE15" t="str">
        <f t="shared" si="9"/>
        <v>À capuche</v>
      </c>
      <c r="BG15" t="str">
        <f t="shared" si="10"/>
        <v>Manches longues</v>
      </c>
      <c r="BH15" t="str">
        <f t="shared" si="11"/>
        <v>Manchette</v>
      </c>
      <c r="BI15" t="str">
        <f t="shared" si="12"/>
        <v>Bouton</v>
      </c>
      <c r="BK15" t="str">
        <f t="shared" si="13"/>
        <v>Tissu respirant : profitez d’un confort optimal au quotidien, car nos chemises pour homme sont confectionnées dans un tissu de qualité supérieure, très respirant, qui vous garantit un confort optimal.</v>
      </c>
      <c r="BL15" t="str">
        <f t="shared" si="14"/>
        <v>Design classique et tendance : cette chemise intemporelle, au style très tendance, allie élégance et charme décontracté, ce qui la rend idéale pour toutes les occasions décontractées.</v>
      </c>
      <c r="BM15"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15" t="str">
        <f t="shared" si="16"/>
        <v>Facile à assortir : associez cette chemise unie classique à un short, un pantalon kaki ou un jean pour créer un look raffiné sans effort, qui s'adapte aussi bien à la journée qu'à la soirée.</v>
      </c>
      <c r="BO15"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16" ht="50" hidden="1" customHeight="1" spans="1:67">
      <c r="A16" s="4" t="s">
        <v>178</v>
      </c>
      <c r="B16" s="4" t="s">
        <v>179</v>
      </c>
      <c r="C16" s="4" t="s">
        <v>1</v>
      </c>
      <c r="D16" s="4" t="str">
        <f t="shared" si="1"/>
        <v>Cardigan Homme Capuche Lin Manches Longues Ample Cintré</v>
      </c>
      <c r="E16" s="4" t="str">
        <f t="shared" si="2"/>
        <v>Coton Fin Respirant Anti-UV Cordon de Serrage Demi-Ouverture Ourlet Courbe Vacances Décontracté Cardigan Essentiel</v>
      </c>
      <c r="F16" s="4">
        <f t="shared" si="0"/>
        <v>114</v>
      </c>
      <c r="G16" s="4"/>
      <c r="H16" s="4"/>
      <c r="I16" s="4" t="s">
        <v>180</v>
      </c>
      <c r="J16" s="4" t="s">
        <v>155</v>
      </c>
      <c r="K16" s="4" t="s">
        <v>156</v>
      </c>
      <c r="L16" s="4" t="s">
        <v>59</v>
      </c>
      <c r="M16" s="4" t="s">
        <v>181</v>
      </c>
      <c r="N16" s="4" t="s">
        <v>182</v>
      </c>
      <c r="O16" s="4"/>
      <c r="P16" s="4" t="s">
        <v>183</v>
      </c>
      <c r="Q16" s="4" t="s">
        <v>184</v>
      </c>
      <c r="R16" s="4" t="s">
        <v>185</v>
      </c>
      <c r="S16" s="4" t="s">
        <v>186</v>
      </c>
      <c r="T16" s="4" t="s">
        <v>187</v>
      </c>
      <c r="U16" s="4" t="s">
        <v>188</v>
      </c>
      <c r="V16" s="4" t="s">
        <v>189</v>
      </c>
      <c r="W16" s="4" t="s">
        <v>190</v>
      </c>
      <c r="X16" s="4"/>
      <c r="Y16" s="4" t="s">
        <v>17</v>
      </c>
      <c r="Z16" s="4"/>
      <c r="AA16" s="4" t="s">
        <v>183</v>
      </c>
      <c r="AB16" s="4"/>
      <c r="AC16" s="4" t="s">
        <v>184</v>
      </c>
      <c r="AD16" s="4"/>
      <c r="AE16" s="4" t="s">
        <v>185</v>
      </c>
      <c r="AF16" s="4"/>
      <c r="AG16" s="4" t="s">
        <v>186</v>
      </c>
      <c r="AH16" s="4"/>
      <c r="AI16" s="4" t="s">
        <v>187</v>
      </c>
      <c r="AJ16" s="4"/>
      <c r="AK16" s="4" t="s">
        <v>188</v>
      </c>
      <c r="AL16" s="4"/>
      <c r="AM16" s="4" t="s">
        <v>189</v>
      </c>
      <c r="AN16" s="4"/>
      <c r="AO16" s="4" t="s">
        <v>190</v>
      </c>
      <c r="AP16" s="4" t="s">
        <v>45</v>
      </c>
      <c r="AQ16" s="4" t="s">
        <v>45</v>
      </c>
      <c r="AR16" s="4" t="s">
        <v>18</v>
      </c>
      <c r="AS16" s="4" t="s">
        <v>181</v>
      </c>
      <c r="AT16" s="4">
        <v>23.49</v>
      </c>
      <c r="AU16" s="4">
        <v>28.19</v>
      </c>
      <c r="AV16" s="4">
        <v>20.21</v>
      </c>
      <c r="AW16" s="4">
        <v>26.21</v>
      </c>
      <c r="AY16" t="str">
        <f t="shared" si="3"/>
        <v>Sans col</v>
      </c>
      <c r="AZ16" t="str">
        <f t="shared" si="4"/>
        <v>Décontracté</v>
      </c>
      <c r="BA16" t="str">
        <f t="shared" si="5"/>
        <v>Minimaliste</v>
      </c>
      <c r="BB16" t="str">
        <f t="shared" si="6"/>
        <v>Chemise</v>
      </c>
      <c r="BC16" t="str">
        <f t="shared" si="7"/>
        <v>Surdimensionnée</v>
      </c>
      <c r="BD16" t="str">
        <f t="shared" si="8"/>
        <v>Plaine</v>
      </c>
      <c r="BE16" t="str">
        <f t="shared" si="9"/>
        <v>À capuche</v>
      </c>
      <c r="BG16" t="str">
        <f t="shared" si="10"/>
        <v>Manches longues</v>
      </c>
      <c r="BH16" t="str">
        <f t="shared" si="11"/>
        <v>Manchette</v>
      </c>
      <c r="BI16" t="str">
        <f t="shared" si="12"/>
        <v>Bouton</v>
      </c>
      <c r="BK16" t="str">
        <f t="shared" si="13"/>
        <v>Tissu respirant : profitez d’un confort optimal au quotidien, car nos chemises pour homme sont confectionnées dans un tissu de qualité supérieure, très respirant, qui vous garantit un confort optimal.</v>
      </c>
      <c r="BL16" t="str">
        <f t="shared" si="14"/>
        <v>Design classique et tendance : cette chemise intemporelle, au style très tendance, allie élégance et charme décontracté, ce qui la rend idéale pour toutes les occasions décontractées.</v>
      </c>
      <c r="BM16"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16" t="str">
        <f t="shared" si="16"/>
        <v>Facile à assortir : associez cette chemise unie classique à un short, un pantalon kaki ou un jean pour créer un look raffiné sans effort, qui s'adapte aussi bien à la journée qu'à la soirée.</v>
      </c>
      <c r="BO16"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17" ht="50" hidden="1" customHeight="1" spans="1:67">
      <c r="A17" s="4" t="s">
        <v>191</v>
      </c>
      <c r="B17" s="4" t="s">
        <v>192</v>
      </c>
      <c r="C17" s="4" t="s">
        <v>1</v>
      </c>
      <c r="D17" s="4" t="str">
        <f t="shared" si="1"/>
        <v>Cardigan Homme Capuche Lin Manches Longues Ample Cintré</v>
      </c>
      <c r="E17" s="4" t="str">
        <f t="shared" si="2"/>
        <v>Coton Fin Respirant Anti-UV Cordon de Serrage Demi-Ouverture Ourlet Courbe Vacances Décontracté Cardigan Essentiel</v>
      </c>
      <c r="F17" s="4">
        <f t="shared" si="0"/>
        <v>114</v>
      </c>
      <c r="G17" s="4"/>
      <c r="H17" s="4"/>
      <c r="I17" s="4" t="s">
        <v>193</v>
      </c>
      <c r="J17" s="4" t="s">
        <v>155</v>
      </c>
      <c r="K17" s="4" t="s">
        <v>156</v>
      </c>
      <c r="L17" s="4" t="s">
        <v>69</v>
      </c>
      <c r="M17" s="4" t="s">
        <v>194</v>
      </c>
      <c r="N17" s="4" t="s">
        <v>111</v>
      </c>
      <c r="O17" s="4"/>
      <c r="P17" s="4" t="s">
        <v>195</v>
      </c>
      <c r="Q17" s="4" t="s">
        <v>196</v>
      </c>
      <c r="R17" s="4" t="s">
        <v>197</v>
      </c>
      <c r="S17" s="4" t="s">
        <v>198</v>
      </c>
      <c r="T17" s="4" t="s">
        <v>199</v>
      </c>
      <c r="U17" s="4" t="s">
        <v>200</v>
      </c>
      <c r="V17" s="4" t="s">
        <v>201</v>
      </c>
      <c r="W17" s="4" t="s">
        <v>202</v>
      </c>
      <c r="X17" s="4"/>
      <c r="Y17" s="4" t="s">
        <v>17</v>
      </c>
      <c r="Z17" s="4"/>
      <c r="AA17" s="4" t="s">
        <v>195</v>
      </c>
      <c r="AB17" s="4"/>
      <c r="AC17" s="4" t="s">
        <v>196</v>
      </c>
      <c r="AD17" s="4"/>
      <c r="AE17" s="4" t="s">
        <v>197</v>
      </c>
      <c r="AF17" s="4"/>
      <c r="AG17" s="4" t="s">
        <v>198</v>
      </c>
      <c r="AH17" s="4"/>
      <c r="AI17" s="4" t="s">
        <v>199</v>
      </c>
      <c r="AJ17" s="4"/>
      <c r="AK17" s="4" t="s">
        <v>200</v>
      </c>
      <c r="AL17" s="4"/>
      <c r="AM17" s="4" t="s">
        <v>201</v>
      </c>
      <c r="AN17" s="4"/>
      <c r="AO17" s="4" t="s">
        <v>202</v>
      </c>
      <c r="AP17" s="4" t="s">
        <v>45</v>
      </c>
      <c r="AQ17" s="4" t="s">
        <v>45</v>
      </c>
      <c r="AR17" s="4" t="s">
        <v>18</v>
      </c>
      <c r="AS17" s="4" t="s">
        <v>194</v>
      </c>
      <c r="AT17" s="4">
        <v>23.51</v>
      </c>
      <c r="AU17" s="4">
        <v>28.21</v>
      </c>
      <c r="AV17" s="4">
        <v>20.23</v>
      </c>
      <c r="AW17" s="4">
        <v>26.23</v>
      </c>
      <c r="AY17" t="str">
        <f t="shared" si="3"/>
        <v>Sans col</v>
      </c>
      <c r="AZ17" t="str">
        <f t="shared" si="4"/>
        <v>Décontracté</v>
      </c>
      <c r="BA17" t="str">
        <f t="shared" si="5"/>
        <v>Minimaliste</v>
      </c>
      <c r="BB17" t="str">
        <f t="shared" si="6"/>
        <v>Chemise</v>
      </c>
      <c r="BC17" t="str">
        <f t="shared" si="7"/>
        <v>Surdimensionnée</v>
      </c>
      <c r="BD17" t="str">
        <f t="shared" si="8"/>
        <v>Plaine</v>
      </c>
      <c r="BE17" t="str">
        <f t="shared" si="9"/>
        <v>À capuche</v>
      </c>
      <c r="BG17" t="str">
        <f t="shared" si="10"/>
        <v>Manches longues</v>
      </c>
      <c r="BH17" t="str">
        <f t="shared" si="11"/>
        <v>Manchette</v>
      </c>
      <c r="BI17" t="str">
        <f t="shared" si="12"/>
        <v>Bouton</v>
      </c>
      <c r="BK17" t="str">
        <f t="shared" si="13"/>
        <v>Tissu respirant : profitez d’un confort optimal au quotidien, car nos chemises pour homme sont confectionnées dans un tissu de qualité supérieure, très respirant, qui vous garantit un confort optimal.</v>
      </c>
      <c r="BL17" t="str">
        <f t="shared" si="14"/>
        <v>Design classique et tendance : cette chemise intemporelle, au style très tendance, allie élégance et charme décontracté, ce qui la rend idéale pour toutes les occasions décontractées.</v>
      </c>
      <c r="BM17"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17" t="str">
        <f t="shared" si="16"/>
        <v>Facile à assortir : associez cette chemise unie classique à un short, un pantalon kaki ou un jean pour créer un look raffiné sans effort, qui s'adapte aussi bien à la journée qu'à la soirée.</v>
      </c>
      <c r="BO17"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18" ht="50" hidden="1" customHeight="1" spans="1:67">
      <c r="A18" s="4" t="s">
        <v>203</v>
      </c>
      <c r="B18" s="4" t="s">
        <v>204</v>
      </c>
      <c r="C18" s="4" t="s">
        <v>1</v>
      </c>
      <c r="D18" s="4" t="str">
        <f t="shared" si="1"/>
        <v>Cardigan Homme Capuche Lin Manches Longues Ample Cintré</v>
      </c>
      <c r="E18" s="4" t="str">
        <f t="shared" si="2"/>
        <v>Coton Fin Respirant Anti-UV Cordon de Serrage Demi-Ouverture Ourlet Courbe Vacances Décontracté Cardigan Essentiel</v>
      </c>
      <c r="F18" s="4">
        <f t="shared" si="0"/>
        <v>114</v>
      </c>
      <c r="G18" s="4"/>
      <c r="H18" s="4"/>
      <c r="I18" s="4" t="s">
        <v>205</v>
      </c>
      <c r="J18" s="4" t="s">
        <v>155</v>
      </c>
      <c r="K18" s="4" t="s">
        <v>156</v>
      </c>
      <c r="L18" s="4" t="s">
        <v>79</v>
      </c>
      <c r="M18" s="4" t="s">
        <v>206</v>
      </c>
      <c r="N18" s="4" t="s">
        <v>207</v>
      </c>
      <c r="O18" s="4"/>
      <c r="P18" s="4" t="s">
        <v>208</v>
      </c>
      <c r="Q18" s="4" t="s">
        <v>209</v>
      </c>
      <c r="R18" s="4" t="s">
        <v>210</v>
      </c>
      <c r="S18" s="4" t="s">
        <v>211</v>
      </c>
      <c r="T18" s="4" t="s">
        <v>212</v>
      </c>
      <c r="U18" s="4" t="s">
        <v>213</v>
      </c>
      <c r="V18" s="4" t="s">
        <v>214</v>
      </c>
      <c r="W18" s="4" t="s">
        <v>215</v>
      </c>
      <c r="X18" s="4"/>
      <c r="Y18" s="4" t="s">
        <v>17</v>
      </c>
      <c r="Z18" s="4"/>
      <c r="AA18" s="4" t="s">
        <v>208</v>
      </c>
      <c r="AB18" s="4"/>
      <c r="AC18" s="4" t="s">
        <v>209</v>
      </c>
      <c r="AD18" s="4"/>
      <c r="AE18" s="4" t="s">
        <v>210</v>
      </c>
      <c r="AF18" s="4"/>
      <c r="AG18" s="4" t="s">
        <v>211</v>
      </c>
      <c r="AH18" s="4"/>
      <c r="AI18" s="4" t="s">
        <v>212</v>
      </c>
      <c r="AJ18" s="4"/>
      <c r="AK18" s="4" t="s">
        <v>213</v>
      </c>
      <c r="AL18" s="4"/>
      <c r="AM18" s="4" t="s">
        <v>214</v>
      </c>
      <c r="AN18" s="4"/>
      <c r="AO18" s="4" t="s">
        <v>215</v>
      </c>
      <c r="AP18" s="4" t="s">
        <v>45</v>
      </c>
      <c r="AQ18" s="4" t="s">
        <v>45</v>
      </c>
      <c r="AR18" s="4" t="s">
        <v>18</v>
      </c>
      <c r="AS18" s="4" t="s">
        <v>206</v>
      </c>
      <c r="AT18" s="4">
        <v>23.45</v>
      </c>
      <c r="AU18" s="4">
        <v>28.14</v>
      </c>
      <c r="AV18" s="4">
        <v>20.16</v>
      </c>
      <c r="AW18" s="4">
        <v>26.16</v>
      </c>
      <c r="AY18" t="str">
        <f t="shared" si="3"/>
        <v>Sans col</v>
      </c>
      <c r="AZ18" t="str">
        <f t="shared" si="4"/>
        <v>Décontracté</v>
      </c>
      <c r="BA18" t="str">
        <f t="shared" si="5"/>
        <v>Minimaliste</v>
      </c>
      <c r="BB18" t="str">
        <f t="shared" si="6"/>
        <v>Chemise</v>
      </c>
      <c r="BC18" t="str">
        <f t="shared" si="7"/>
        <v>Surdimensionnée</v>
      </c>
      <c r="BD18" t="str">
        <f t="shared" si="8"/>
        <v>Plaine</v>
      </c>
      <c r="BE18" t="str">
        <f t="shared" si="9"/>
        <v>À capuche</v>
      </c>
      <c r="BG18" t="str">
        <f t="shared" si="10"/>
        <v>Manches longues</v>
      </c>
      <c r="BH18" t="str">
        <f t="shared" si="11"/>
        <v>Manchette</v>
      </c>
      <c r="BI18" t="str">
        <f t="shared" si="12"/>
        <v>Bouton</v>
      </c>
      <c r="BK18" t="str">
        <f t="shared" si="13"/>
        <v>Tissu respirant : profitez d’un confort optimal au quotidien, car nos chemises pour homme sont confectionnées dans un tissu de qualité supérieure, très respirant, qui vous garantit un confort optimal.</v>
      </c>
      <c r="BL18" t="str">
        <f t="shared" si="14"/>
        <v>Design classique et tendance : cette chemise intemporelle, au style très tendance, allie élégance et charme décontracté, ce qui la rend idéale pour toutes les occasions décontractées.</v>
      </c>
      <c r="BM18"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18" t="str">
        <f t="shared" si="16"/>
        <v>Facile à assortir : associez cette chemise unie classique à un short, un pantalon kaki ou un jean pour créer un look raffiné sans effort, qui s'adapte aussi bien à la journée qu'à la soirée.</v>
      </c>
      <c r="BO18"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19" ht="50" hidden="1" customHeight="1" spans="1:67">
      <c r="A19" s="4" t="s">
        <v>216</v>
      </c>
      <c r="B19" s="4" t="s">
        <v>217</v>
      </c>
      <c r="C19" s="4" t="s">
        <v>1</v>
      </c>
      <c r="D19" s="4" t="str">
        <f t="shared" si="1"/>
        <v>Cardigan Homme Capuche Lin Manches Longues Ample Cintré</v>
      </c>
      <c r="E19" s="4" t="str">
        <f t="shared" si="2"/>
        <v>Coton Fin Respirant Anti-UV Cordon de Serrage Demi-Ouverture Ourlet Courbe Vacances Décontracté Cardigan Essentiel</v>
      </c>
      <c r="F19" s="4">
        <f t="shared" si="0"/>
        <v>114</v>
      </c>
      <c r="G19" s="4"/>
      <c r="H19" s="4"/>
      <c r="I19" s="4" t="s">
        <v>218</v>
      </c>
      <c r="J19" s="4" t="s">
        <v>155</v>
      </c>
      <c r="K19" s="4" t="s">
        <v>156</v>
      </c>
      <c r="L19" s="4" t="s">
        <v>89</v>
      </c>
      <c r="M19" s="4" t="s">
        <v>219</v>
      </c>
      <c r="N19" s="4" t="s">
        <v>147</v>
      </c>
      <c r="O19" s="4"/>
      <c r="P19" s="4" t="s">
        <v>220</v>
      </c>
      <c r="Q19" s="4" t="s">
        <v>221</v>
      </c>
      <c r="R19" s="4" t="s">
        <v>222</v>
      </c>
      <c r="S19" s="4" t="s">
        <v>223</v>
      </c>
      <c r="T19" s="4" t="s">
        <v>224</v>
      </c>
      <c r="U19" s="4" t="s">
        <v>225</v>
      </c>
      <c r="V19" s="4" t="s">
        <v>226</v>
      </c>
      <c r="W19" s="4" t="s">
        <v>227</v>
      </c>
      <c r="X19" s="4"/>
      <c r="Y19" s="4" t="s">
        <v>17</v>
      </c>
      <c r="Z19" s="4"/>
      <c r="AA19" s="4" t="s">
        <v>220</v>
      </c>
      <c r="AB19" s="4"/>
      <c r="AC19" s="4" t="s">
        <v>221</v>
      </c>
      <c r="AD19" s="4"/>
      <c r="AE19" s="4" t="s">
        <v>222</v>
      </c>
      <c r="AF19" s="4"/>
      <c r="AG19" s="4" t="s">
        <v>223</v>
      </c>
      <c r="AH19" s="4"/>
      <c r="AI19" s="4" t="s">
        <v>224</v>
      </c>
      <c r="AJ19" s="4"/>
      <c r="AK19" s="4" t="s">
        <v>225</v>
      </c>
      <c r="AL19" s="4"/>
      <c r="AM19" s="4" t="s">
        <v>226</v>
      </c>
      <c r="AN19" s="4"/>
      <c r="AO19" s="4" t="s">
        <v>227</v>
      </c>
      <c r="AP19" s="4" t="s">
        <v>45</v>
      </c>
      <c r="AQ19" s="4" t="s">
        <v>45</v>
      </c>
      <c r="AR19" s="4" t="s">
        <v>18</v>
      </c>
      <c r="AS19" s="4" t="s">
        <v>219</v>
      </c>
      <c r="AT19" s="4">
        <v>23.39</v>
      </c>
      <c r="AU19" s="4">
        <v>28.07</v>
      </c>
      <c r="AV19" s="4">
        <v>20.09</v>
      </c>
      <c r="AW19" s="4">
        <v>26.09</v>
      </c>
      <c r="AY19" t="str">
        <f t="shared" si="3"/>
        <v>Sans col</v>
      </c>
      <c r="AZ19" t="str">
        <f t="shared" si="4"/>
        <v>Décontracté</v>
      </c>
      <c r="BA19" t="str">
        <f t="shared" si="5"/>
        <v>Minimaliste</v>
      </c>
      <c r="BB19" t="str">
        <f t="shared" si="6"/>
        <v>Chemise</v>
      </c>
      <c r="BC19" t="str">
        <f t="shared" si="7"/>
        <v>Surdimensionnée</v>
      </c>
      <c r="BD19" t="str">
        <f t="shared" si="8"/>
        <v>Plaine</v>
      </c>
      <c r="BE19" t="str">
        <f t="shared" si="9"/>
        <v>À capuche</v>
      </c>
      <c r="BG19" t="str">
        <f t="shared" si="10"/>
        <v>Manches longues</v>
      </c>
      <c r="BH19" t="str">
        <f t="shared" si="11"/>
        <v>Manchette</v>
      </c>
      <c r="BI19" t="str">
        <f t="shared" si="12"/>
        <v>Bouton</v>
      </c>
      <c r="BK19" t="str">
        <f t="shared" si="13"/>
        <v>Tissu respirant : profitez d’un confort optimal au quotidien, car nos chemises pour homme sont confectionnées dans un tissu de qualité supérieure, très respirant, qui vous garantit un confort optimal.</v>
      </c>
      <c r="BL19" t="str">
        <f t="shared" si="14"/>
        <v>Design classique et tendance : cette chemise intemporelle, au style très tendance, allie élégance et charme décontracté, ce qui la rend idéale pour toutes les occasions décontractées.</v>
      </c>
      <c r="BM19" t="str">
        <f t="shared" si="15"/>
        <v>Polyvalente et adaptée à toutes les occasions : que ce soit pour aller à la plage, participer à un barbecue estival ou simplement vous détendre chez vous, cette chemise en lin à manches longues pour homme est le choix idéal pour créer un look décontracté.</v>
      </c>
      <c r="BN19" t="str">
        <f t="shared" si="16"/>
        <v>Facile à assortir : associez cette chemise unie classique à un short, un pantalon kaki ou un jean pour créer un look raffiné sans effort, qui s'adapte aussi bien à la journée qu'à la soirée.</v>
      </c>
      <c r="BO19" t="str">
        <f t="shared" si="17"/>
        <v>Résistante et facile d’entretien : confectionnée avec un savoir-faire exceptionnel, cette chemise d’été est non seulement élégante et raffinée, mais elle est également lavable en machine et facile à entretenir, ce qui garantit qu’elle restera un incontournable de votre garde-robe pendant de nombreuses années.</v>
      </c>
    </row>
    <row r="20" ht="50" customHeight="1" spans="1:67">
      <c r="A20" s="3" t="s">
        <v>228</v>
      </c>
      <c r="B20" s="4" t="s">
        <v>229</v>
      </c>
      <c r="C20" s="4" t="s">
        <v>229</v>
      </c>
      <c r="D20" s="4" t="s">
        <v>230</v>
      </c>
      <c r="E20" s="4" t="s">
        <v>231</v>
      </c>
      <c r="F20" s="4">
        <f t="shared" ref="F20:F52" si="18">LEN(E20)</f>
        <v>105</v>
      </c>
      <c r="G20" s="4"/>
      <c r="H20" s="4"/>
      <c r="I20" s="4" t="s">
        <v>232</v>
      </c>
      <c r="J20" s="4" t="s">
        <v>233</v>
      </c>
      <c r="K20" s="4"/>
      <c r="L20" s="4"/>
      <c r="M20" s="4" t="s">
        <v>234</v>
      </c>
      <c r="N20" s="4" t="s">
        <v>235</v>
      </c>
      <c r="O20" s="4"/>
      <c r="P20" s="4" t="s">
        <v>236</v>
      </c>
      <c r="Q20" s="4" t="s">
        <v>237</v>
      </c>
      <c r="R20" s="4" t="s">
        <v>238</v>
      </c>
      <c r="S20" s="4" t="s">
        <v>239</v>
      </c>
      <c r="T20" s="4" t="s">
        <v>240</v>
      </c>
      <c r="U20" s="4" t="s">
        <v>241</v>
      </c>
      <c r="V20" s="4" t="s">
        <v>242</v>
      </c>
      <c r="W20" s="4" t="s">
        <v>243</v>
      </c>
      <c r="X20" s="4" t="s">
        <v>244</v>
      </c>
      <c r="Y20" s="4" t="s">
        <v>17</v>
      </c>
      <c r="Z20" s="4"/>
      <c r="AA20" s="4" t="s">
        <v>236</v>
      </c>
      <c r="AB20" s="4"/>
      <c r="AC20" s="4" t="s">
        <v>237</v>
      </c>
      <c r="AD20" s="4"/>
      <c r="AE20" s="4" t="s">
        <v>238</v>
      </c>
      <c r="AF20" s="4"/>
      <c r="AG20" s="4" t="s">
        <v>239</v>
      </c>
      <c r="AH20" s="4"/>
      <c r="AI20" s="4" t="s">
        <v>240</v>
      </c>
      <c r="AJ20" s="4"/>
      <c r="AK20" s="4" t="s">
        <v>241</v>
      </c>
      <c r="AL20" s="4"/>
      <c r="AM20" s="4" t="s">
        <v>242</v>
      </c>
      <c r="AN20" s="4"/>
      <c r="AO20" s="4" t="s">
        <v>243</v>
      </c>
      <c r="AP20" s="4"/>
      <c r="AQ20" s="4" t="s">
        <v>244</v>
      </c>
      <c r="AR20" s="4" t="s">
        <v>18</v>
      </c>
      <c r="AS20" s="4" t="s">
        <v>234</v>
      </c>
      <c r="AT20" s="4">
        <v>22.12</v>
      </c>
      <c r="AU20" s="4">
        <v>26.54</v>
      </c>
      <c r="AV20" s="4">
        <v>18.56</v>
      </c>
      <c r="AW20" s="4">
        <v>24.56</v>
      </c>
      <c r="AY20" t="s">
        <v>245</v>
      </c>
      <c r="AZ20" t="s">
        <v>20</v>
      </c>
      <c r="BA20" t="s">
        <v>246</v>
      </c>
      <c r="BB20" t="s">
        <v>22</v>
      </c>
      <c r="BC20" t="s">
        <v>247</v>
      </c>
      <c r="BD20" t="s">
        <v>24</v>
      </c>
      <c r="BE20" t="s">
        <v>248</v>
      </c>
      <c r="BG20" t="s">
        <v>26</v>
      </c>
      <c r="BH20" t="s">
        <v>27</v>
      </c>
      <c r="BI20" t="s">
        <v>28</v>
      </c>
      <c r="BK20" t="s">
        <v>249</v>
      </c>
      <c r="BL20" t="s">
        <v>250</v>
      </c>
      <c r="BM20" t="s">
        <v>251</v>
      </c>
      <c r="BN20" t="s">
        <v>252</v>
      </c>
      <c r="BO20" t="s">
        <v>253</v>
      </c>
    </row>
    <row r="21" ht="50" hidden="1" customHeight="1" spans="1:67">
      <c r="A21" s="4" t="s">
        <v>254</v>
      </c>
      <c r="B21" s="4" t="s">
        <v>255</v>
      </c>
      <c r="C21" s="4" t="s">
        <v>229</v>
      </c>
      <c r="D21" s="4" t="str">
        <f t="shared" ref="D21:D50" si="19">D20</f>
        <v>Chemise Western Homme Imprimé Vintage Manches Longues</v>
      </c>
      <c r="E21" s="4" t="str">
        <f t="shared" ref="E21:E50" si="20">E20</f>
        <v>Géométrique Col Revers Boutonnage, Deux Poches Poitrine Plein Air, Western Décontracté Chemise Doux Lisse</v>
      </c>
      <c r="F21" s="4">
        <f t="shared" si="18"/>
        <v>105</v>
      </c>
      <c r="G21" s="4"/>
      <c r="H21" s="4"/>
      <c r="I21" s="4" t="s">
        <v>256</v>
      </c>
      <c r="J21" s="4" t="s">
        <v>257</v>
      </c>
      <c r="K21" s="4" t="s">
        <v>258</v>
      </c>
      <c r="L21" s="4" t="s">
        <v>38</v>
      </c>
      <c r="M21" s="4" t="s">
        <v>259</v>
      </c>
      <c r="N21" s="4" t="s">
        <v>260</v>
      </c>
      <c r="O21" s="4"/>
      <c r="P21" s="4" t="s">
        <v>261</v>
      </c>
      <c r="Q21" s="4" t="s">
        <v>262</v>
      </c>
      <c r="R21" s="4" t="s">
        <v>263</v>
      </c>
      <c r="S21" s="4" t="s">
        <v>264</v>
      </c>
      <c r="T21" s="4" t="s">
        <v>265</v>
      </c>
      <c r="U21" s="4"/>
      <c r="V21" s="4"/>
      <c r="W21" s="4"/>
      <c r="X21" s="4"/>
      <c r="Y21" s="4" t="s">
        <v>17</v>
      </c>
      <c r="Z21" s="4"/>
      <c r="AA21" s="4" t="s">
        <v>261</v>
      </c>
      <c r="AB21" s="4"/>
      <c r="AC21" s="4" t="s">
        <v>262</v>
      </c>
      <c r="AD21" s="4"/>
      <c r="AE21" s="4" t="s">
        <v>263</v>
      </c>
      <c r="AF21" s="4"/>
      <c r="AG21" s="4" t="s">
        <v>264</v>
      </c>
      <c r="AH21" s="4"/>
      <c r="AI21" s="4" t="s">
        <v>265</v>
      </c>
      <c r="AJ21" s="4" t="s">
        <v>45</v>
      </c>
      <c r="AK21" s="4" t="s">
        <v>45</v>
      </c>
      <c r="AL21" s="4" t="s">
        <v>45</v>
      </c>
      <c r="AM21" s="4" t="s">
        <v>45</v>
      </c>
      <c r="AN21" s="4" t="s">
        <v>45</v>
      </c>
      <c r="AO21" s="4" t="s">
        <v>45</v>
      </c>
      <c r="AP21" s="4" t="s">
        <v>45</v>
      </c>
      <c r="AQ21" s="4" t="s">
        <v>45</v>
      </c>
      <c r="AR21" s="4" t="s">
        <v>18</v>
      </c>
      <c r="AS21" s="4" t="s">
        <v>259</v>
      </c>
      <c r="AT21" s="4">
        <v>21.03</v>
      </c>
      <c r="AU21" s="4">
        <v>25.24</v>
      </c>
      <c r="AV21" s="4">
        <v>17.26</v>
      </c>
      <c r="AW21" s="4">
        <v>23.26</v>
      </c>
      <c r="AY21" t="str">
        <f t="shared" ref="AY21:AY50" si="21">AY20</f>
        <v>Col rabattu</v>
      </c>
      <c r="AZ21" t="str">
        <f t="shared" ref="AZ21:AZ50" si="22">AZ20</f>
        <v>Décontracté</v>
      </c>
      <c r="BA21" t="str">
        <f t="shared" ref="BA21:BA50" si="23">BA20</f>
        <v>Occidental</v>
      </c>
      <c r="BB21" t="str">
        <f t="shared" ref="BB21:BB50" si="24">BB20</f>
        <v>Chemise</v>
      </c>
      <c r="BC21" t="str">
        <f t="shared" ref="BC21:BC50" si="25">BC20</f>
        <v>Régulier</v>
      </c>
      <c r="BD21" t="str">
        <f t="shared" ref="BD21:BD50" si="26">BD20</f>
        <v>Plaine</v>
      </c>
      <c r="BE21" t="str">
        <f t="shared" ref="BE21:BE50" si="27">BE20</f>
        <v>Col cranté</v>
      </c>
      <c r="BG21" t="str">
        <f t="shared" ref="BG21:BG50" si="28">BG20</f>
        <v>Manches longues</v>
      </c>
      <c r="BH21" t="str">
        <f t="shared" ref="BH21:BH50" si="29">BH20</f>
        <v>Manchette</v>
      </c>
      <c r="BI21" t="str">
        <f t="shared" ref="BI21:BI50" si="30">BI20</f>
        <v>Bouton</v>
      </c>
      <c r="BK21" t="str">
        <f t="shared" ref="BK21:BK50" si="31">BK20</f>
        <v>Tissu ultra-légèrement aéré : grâce à une sélection de matières premières nobles, nos chemises homme offrent une respirabilité exceptionnelle qui vous enveloppe d’une sensation de fraîcheur tout au long de la journée.</v>
      </c>
      <c r="BL21" t="str">
        <f t="shared" ref="BL21:BL50" si="32">BL20</f>
        <v>Coupe moderne et intemporelle : ce modèle au design épuré mêle avec subtilité l’esprit classique et une touche contemporaine, pour un rendu aussi chic que décontracté, parfait pour vos journées estivales.</v>
      </c>
      <c r="BM21" t="str">
        <f t="shared" ref="BM21:BM50" si="33">BM20</f>
        <v>Adaptée à toutes les situations : que vous flâniez en bord de mer, que vous participiez à un pique-nique entre amis ou que vous profitiez d’un moment de farniente à la maison, cette chemise en lin à manches longues s’impose comme la pièce maîtresse de vos tenues décontractées.</v>
      </c>
      <c r="BN21" t="str">
        <f t="shared" ref="BN21:BN50" si="34">BN20</f>
        <v>Associations faciles et infinies : portez-la avec un bermuda, un pantalon en toile ou un jean brut, et vous obtiendrez en un clin d’œil une allure élégante et naturelle, qui passe sans effort de la lumière du jour aux soirées douces.</v>
      </c>
      <c r="BO21" t="str">
        <f t="shared" ref="BO21:BO50" si="35">BO20</f>
        <v>Solidité et entretien simplifié : confectionnée selon un savoir-faire rigoureux, cette chemise d’été allie esthétique raffinée et praticité – elle supporte parfaitement le lavage en machine et conserve son éclat saison après saison, devenant vite un indispensable de votre dressing.</v>
      </c>
    </row>
    <row r="22" ht="50" hidden="1" customHeight="1" spans="1:67">
      <c r="A22" s="4" t="s">
        <v>266</v>
      </c>
      <c r="B22" s="4" t="s">
        <v>267</v>
      </c>
      <c r="C22" s="4" t="s">
        <v>229</v>
      </c>
      <c r="D22" s="4" t="str">
        <f t="shared" si="19"/>
        <v>Chemise Western Homme Imprimé Vintage Manches Longues</v>
      </c>
      <c r="E22" s="4" t="str">
        <f t="shared" si="20"/>
        <v>Géométrique Col Revers Boutonnage, Deux Poches Poitrine Plein Air, Western Décontracté Chemise Doux Lisse</v>
      </c>
      <c r="F22" s="4">
        <f t="shared" si="18"/>
        <v>105</v>
      </c>
      <c r="G22" s="4"/>
      <c r="H22" s="4"/>
      <c r="I22" s="4" t="s">
        <v>268</v>
      </c>
      <c r="J22" s="4" t="s">
        <v>257</v>
      </c>
      <c r="K22" s="4" t="s">
        <v>258</v>
      </c>
      <c r="L22" s="4" t="s">
        <v>49</v>
      </c>
      <c r="M22" s="4" t="s">
        <v>269</v>
      </c>
      <c r="N22" s="4" t="s">
        <v>270</v>
      </c>
      <c r="O22" s="4"/>
      <c r="P22" s="4" t="s">
        <v>271</v>
      </c>
      <c r="Q22" s="4" t="s">
        <v>272</v>
      </c>
      <c r="R22" s="4" t="s">
        <v>273</v>
      </c>
      <c r="S22" s="4" t="s">
        <v>274</v>
      </c>
      <c r="T22" s="4" t="s">
        <v>275</v>
      </c>
      <c r="U22" s="4"/>
      <c r="V22" s="4"/>
      <c r="W22" s="4"/>
      <c r="X22" s="4"/>
      <c r="Y22" s="4" t="s">
        <v>17</v>
      </c>
      <c r="Z22" s="4"/>
      <c r="AA22" s="4" t="s">
        <v>271</v>
      </c>
      <c r="AB22" s="4"/>
      <c r="AC22" s="4" t="s">
        <v>272</v>
      </c>
      <c r="AD22" s="4"/>
      <c r="AE22" s="4" t="s">
        <v>273</v>
      </c>
      <c r="AF22" s="4"/>
      <c r="AG22" s="4" t="s">
        <v>274</v>
      </c>
      <c r="AH22" s="4"/>
      <c r="AI22" s="4" t="s">
        <v>275</v>
      </c>
      <c r="AJ22" s="4" t="s">
        <v>45</v>
      </c>
      <c r="AK22" s="4" t="s">
        <v>45</v>
      </c>
      <c r="AL22" s="4" t="s">
        <v>45</v>
      </c>
      <c r="AM22" s="4" t="s">
        <v>45</v>
      </c>
      <c r="AN22" s="4" t="s">
        <v>45</v>
      </c>
      <c r="AO22" s="4" t="s">
        <v>45</v>
      </c>
      <c r="AP22" s="4" t="s">
        <v>45</v>
      </c>
      <c r="AQ22" s="4" t="s">
        <v>45</v>
      </c>
      <c r="AR22" s="4" t="s">
        <v>18</v>
      </c>
      <c r="AS22" s="4" t="s">
        <v>269</v>
      </c>
      <c r="AT22" s="4">
        <v>22.43</v>
      </c>
      <c r="AU22" s="4">
        <v>26.92</v>
      </c>
      <c r="AV22" s="4">
        <v>18.94</v>
      </c>
      <c r="AW22" s="4">
        <v>24.94</v>
      </c>
      <c r="AY22" t="str">
        <f t="shared" si="21"/>
        <v>Col rabattu</v>
      </c>
      <c r="AZ22" t="str">
        <f t="shared" si="22"/>
        <v>Décontracté</v>
      </c>
      <c r="BA22" t="str">
        <f t="shared" si="23"/>
        <v>Occidental</v>
      </c>
      <c r="BB22" t="str">
        <f t="shared" si="24"/>
        <v>Chemise</v>
      </c>
      <c r="BC22" t="str">
        <f t="shared" si="25"/>
        <v>Régulier</v>
      </c>
      <c r="BD22" t="str">
        <f t="shared" si="26"/>
        <v>Plaine</v>
      </c>
      <c r="BE22" t="str">
        <f t="shared" si="27"/>
        <v>Col cranté</v>
      </c>
      <c r="BG22" t="str">
        <f t="shared" si="28"/>
        <v>Manches longues</v>
      </c>
      <c r="BH22" t="str">
        <f t="shared" si="29"/>
        <v>Manchette</v>
      </c>
      <c r="BI22" t="str">
        <f t="shared" si="30"/>
        <v>Bouton</v>
      </c>
      <c r="BK22" t="str">
        <f t="shared" si="31"/>
        <v>Tissu ultra-légèrement aéré : grâce à une sélection de matières premières nobles, nos chemises homme offrent une respirabilité exceptionnelle qui vous enveloppe d’une sensation de fraîcheur tout au long de la journée.</v>
      </c>
      <c r="BL22" t="str">
        <f t="shared" si="32"/>
        <v>Coupe moderne et intemporelle : ce modèle au design épuré mêle avec subtilité l’esprit classique et une touche contemporaine, pour un rendu aussi chic que décontracté, parfait pour vos journées estivales.</v>
      </c>
      <c r="BM22" t="str">
        <f t="shared" si="33"/>
        <v>Adaptée à toutes les situations : que vous flâniez en bord de mer, que vous participiez à un pique-nique entre amis ou que vous profitiez d’un moment de farniente à la maison, cette chemise en lin à manches longues s’impose comme la pièce maîtresse de vos tenues décontractées.</v>
      </c>
      <c r="BN22" t="str">
        <f t="shared" si="34"/>
        <v>Associations faciles et infinies : portez-la avec un bermuda, un pantalon en toile ou un jean brut, et vous obtiendrez en un clin d’œil une allure élégante et naturelle, qui passe sans effort de la lumière du jour aux soirées douces.</v>
      </c>
      <c r="BO22" t="str">
        <f t="shared" si="35"/>
        <v>Solidité et entretien simplifié : confectionnée selon un savoir-faire rigoureux, cette chemise d’été allie esthétique raffinée et praticité – elle supporte parfaitement le lavage en machine et conserve son éclat saison après saison, devenant vite un indispensable de votre dressing.</v>
      </c>
    </row>
    <row r="23" ht="50" hidden="1" customHeight="1" spans="1:67">
      <c r="A23" s="4" t="s">
        <v>276</v>
      </c>
      <c r="B23" s="4" t="s">
        <v>277</v>
      </c>
      <c r="C23" s="4" t="s">
        <v>229</v>
      </c>
      <c r="D23" s="4" t="str">
        <f t="shared" si="19"/>
        <v>Chemise Western Homme Imprimé Vintage Manches Longues</v>
      </c>
      <c r="E23" s="4" t="str">
        <f t="shared" si="20"/>
        <v>Géométrique Col Revers Boutonnage, Deux Poches Poitrine Plein Air, Western Décontracté Chemise Doux Lisse</v>
      </c>
      <c r="F23" s="4">
        <f t="shared" si="18"/>
        <v>105</v>
      </c>
      <c r="G23" s="4"/>
      <c r="H23" s="4"/>
      <c r="I23" s="4" t="s">
        <v>278</v>
      </c>
      <c r="J23" s="4" t="s">
        <v>257</v>
      </c>
      <c r="K23" s="4" t="s">
        <v>258</v>
      </c>
      <c r="L23" s="4" t="s">
        <v>59</v>
      </c>
      <c r="M23" s="4" t="s">
        <v>279</v>
      </c>
      <c r="N23" s="4" t="s">
        <v>280</v>
      </c>
      <c r="O23" s="4"/>
      <c r="P23" s="4" t="s">
        <v>281</v>
      </c>
      <c r="Q23" s="4" t="s">
        <v>282</v>
      </c>
      <c r="R23" s="4" t="s">
        <v>283</v>
      </c>
      <c r="S23" s="4" t="s">
        <v>284</v>
      </c>
      <c r="T23" s="4" t="s">
        <v>285</v>
      </c>
      <c r="U23" s="4"/>
      <c r="V23" s="4"/>
      <c r="W23" s="4"/>
      <c r="X23" s="4"/>
      <c r="Y23" s="4" t="s">
        <v>17</v>
      </c>
      <c r="Z23" s="4"/>
      <c r="AA23" s="4" t="s">
        <v>281</v>
      </c>
      <c r="AB23" s="4"/>
      <c r="AC23" s="4" t="s">
        <v>282</v>
      </c>
      <c r="AD23" s="4"/>
      <c r="AE23" s="4" t="s">
        <v>283</v>
      </c>
      <c r="AF23" s="4"/>
      <c r="AG23" s="4" t="s">
        <v>284</v>
      </c>
      <c r="AH23" s="4"/>
      <c r="AI23" s="4" t="s">
        <v>285</v>
      </c>
      <c r="AJ23" s="4" t="s">
        <v>45</v>
      </c>
      <c r="AK23" s="4" t="s">
        <v>45</v>
      </c>
      <c r="AL23" s="4" t="s">
        <v>45</v>
      </c>
      <c r="AM23" s="4" t="s">
        <v>45</v>
      </c>
      <c r="AN23" s="4" t="s">
        <v>45</v>
      </c>
      <c r="AO23" s="4" t="s">
        <v>45</v>
      </c>
      <c r="AP23" s="4" t="s">
        <v>45</v>
      </c>
      <c r="AQ23" s="4" t="s">
        <v>45</v>
      </c>
      <c r="AR23" s="4" t="s">
        <v>18</v>
      </c>
      <c r="AS23" s="4" t="s">
        <v>279</v>
      </c>
      <c r="AT23" s="4">
        <v>22.5</v>
      </c>
      <c r="AU23" s="4">
        <v>27</v>
      </c>
      <c r="AV23" s="4">
        <v>19.02</v>
      </c>
      <c r="AW23" s="4">
        <v>25.02</v>
      </c>
      <c r="AY23" t="str">
        <f t="shared" si="21"/>
        <v>Col rabattu</v>
      </c>
      <c r="AZ23" t="str">
        <f t="shared" si="22"/>
        <v>Décontracté</v>
      </c>
      <c r="BA23" t="str">
        <f t="shared" si="23"/>
        <v>Occidental</v>
      </c>
      <c r="BB23" t="str">
        <f t="shared" si="24"/>
        <v>Chemise</v>
      </c>
      <c r="BC23" t="str">
        <f t="shared" si="25"/>
        <v>Régulier</v>
      </c>
      <c r="BD23" t="str">
        <f t="shared" si="26"/>
        <v>Plaine</v>
      </c>
      <c r="BE23" t="str">
        <f t="shared" si="27"/>
        <v>Col cranté</v>
      </c>
      <c r="BG23" t="str">
        <f t="shared" si="28"/>
        <v>Manches longues</v>
      </c>
      <c r="BH23" t="str">
        <f t="shared" si="29"/>
        <v>Manchette</v>
      </c>
      <c r="BI23" t="str">
        <f t="shared" si="30"/>
        <v>Bouton</v>
      </c>
      <c r="BK23" t="str">
        <f t="shared" si="31"/>
        <v>Tissu ultra-légèrement aéré : grâce à une sélection de matières premières nobles, nos chemises homme offrent une respirabilité exceptionnelle qui vous enveloppe d’une sensation de fraîcheur tout au long de la journée.</v>
      </c>
      <c r="BL23" t="str">
        <f t="shared" si="32"/>
        <v>Coupe moderne et intemporelle : ce modèle au design épuré mêle avec subtilité l’esprit classique et une touche contemporaine, pour un rendu aussi chic que décontracté, parfait pour vos journées estivales.</v>
      </c>
      <c r="BM23" t="str">
        <f t="shared" si="33"/>
        <v>Adaptée à toutes les situations : que vous flâniez en bord de mer, que vous participiez à un pique-nique entre amis ou que vous profitiez d’un moment de farniente à la maison, cette chemise en lin à manches longues s’impose comme la pièce maîtresse de vos tenues décontractées.</v>
      </c>
      <c r="BN23" t="str">
        <f t="shared" si="34"/>
        <v>Associations faciles et infinies : portez-la avec un bermuda, un pantalon en toile ou un jean brut, et vous obtiendrez en un clin d’œil une allure élégante et naturelle, qui passe sans effort de la lumière du jour aux soirées douces.</v>
      </c>
      <c r="BO23" t="str">
        <f t="shared" si="35"/>
        <v>Solidité et entretien simplifié : confectionnée selon un savoir-faire rigoureux, cette chemise d’été allie esthétique raffinée et praticité – elle supporte parfaitement le lavage en machine et conserve son éclat saison après saison, devenant vite un indispensable de votre dressing.</v>
      </c>
    </row>
    <row r="24" ht="50" hidden="1" customHeight="1" spans="1:67">
      <c r="A24" s="4" t="s">
        <v>286</v>
      </c>
      <c r="B24" s="4" t="s">
        <v>287</v>
      </c>
      <c r="C24" s="4" t="s">
        <v>229</v>
      </c>
      <c r="D24" s="4" t="str">
        <f t="shared" si="19"/>
        <v>Chemise Western Homme Imprimé Vintage Manches Longues</v>
      </c>
      <c r="E24" s="4" t="str">
        <f t="shared" si="20"/>
        <v>Géométrique Col Revers Boutonnage, Deux Poches Poitrine Plein Air, Western Décontracté Chemise Doux Lisse</v>
      </c>
      <c r="F24" s="4">
        <f t="shared" si="18"/>
        <v>105</v>
      </c>
      <c r="G24" s="4"/>
      <c r="H24" s="4"/>
      <c r="I24" s="4" t="s">
        <v>288</v>
      </c>
      <c r="J24" s="4" t="s">
        <v>257</v>
      </c>
      <c r="K24" s="4" t="s">
        <v>258</v>
      </c>
      <c r="L24" s="4" t="s">
        <v>79</v>
      </c>
      <c r="M24" s="4" t="s">
        <v>289</v>
      </c>
      <c r="N24" s="4" t="s">
        <v>290</v>
      </c>
      <c r="O24" s="4"/>
      <c r="P24" s="4" t="s">
        <v>291</v>
      </c>
      <c r="Q24" s="4" t="s">
        <v>292</v>
      </c>
      <c r="R24" s="4" t="s">
        <v>293</v>
      </c>
      <c r="S24" s="4" t="s">
        <v>294</v>
      </c>
      <c r="T24" s="4" t="s">
        <v>295</v>
      </c>
      <c r="U24" s="4"/>
      <c r="V24" s="4"/>
      <c r="W24" s="4"/>
      <c r="X24" s="4"/>
      <c r="Y24" s="4" t="s">
        <v>17</v>
      </c>
      <c r="Z24" s="4"/>
      <c r="AA24" s="4" t="s">
        <v>291</v>
      </c>
      <c r="AB24" s="4"/>
      <c r="AC24" s="4" t="s">
        <v>292</v>
      </c>
      <c r="AD24" s="4"/>
      <c r="AE24" s="4" t="s">
        <v>293</v>
      </c>
      <c r="AF24" s="4"/>
      <c r="AG24" s="4" t="s">
        <v>294</v>
      </c>
      <c r="AH24" s="4"/>
      <c r="AI24" s="4" t="s">
        <v>295</v>
      </c>
      <c r="AJ24" s="4" t="s">
        <v>45</v>
      </c>
      <c r="AK24" s="4" t="s">
        <v>45</v>
      </c>
      <c r="AL24" s="4" t="s">
        <v>45</v>
      </c>
      <c r="AM24" s="4" t="s">
        <v>45</v>
      </c>
      <c r="AN24" s="4" t="s">
        <v>45</v>
      </c>
      <c r="AO24" s="4" t="s">
        <v>45</v>
      </c>
      <c r="AP24" s="4" t="s">
        <v>45</v>
      </c>
      <c r="AQ24" s="4" t="s">
        <v>45</v>
      </c>
      <c r="AR24" s="4" t="s">
        <v>18</v>
      </c>
      <c r="AS24" s="4" t="s">
        <v>289</v>
      </c>
      <c r="AT24" s="4">
        <v>22.2</v>
      </c>
      <c r="AU24" s="4">
        <v>26.64</v>
      </c>
      <c r="AV24" s="4">
        <v>18.66</v>
      </c>
      <c r="AW24" s="4">
        <v>24.66</v>
      </c>
      <c r="AY24" t="str">
        <f t="shared" si="21"/>
        <v>Col rabattu</v>
      </c>
      <c r="AZ24" t="str">
        <f t="shared" si="22"/>
        <v>Décontracté</v>
      </c>
      <c r="BA24" t="str">
        <f t="shared" si="23"/>
        <v>Occidental</v>
      </c>
      <c r="BB24" t="str">
        <f t="shared" si="24"/>
        <v>Chemise</v>
      </c>
      <c r="BC24" t="str">
        <f t="shared" si="25"/>
        <v>Régulier</v>
      </c>
      <c r="BD24" t="str">
        <f t="shared" si="26"/>
        <v>Plaine</v>
      </c>
      <c r="BE24" t="str">
        <f t="shared" si="27"/>
        <v>Col cranté</v>
      </c>
      <c r="BG24" t="str">
        <f t="shared" si="28"/>
        <v>Manches longues</v>
      </c>
      <c r="BH24" t="str">
        <f t="shared" si="29"/>
        <v>Manchette</v>
      </c>
      <c r="BI24" t="str">
        <f t="shared" si="30"/>
        <v>Bouton</v>
      </c>
      <c r="BK24" t="str">
        <f t="shared" si="31"/>
        <v>Tissu ultra-légèrement aéré : grâce à une sélection de matières premières nobles, nos chemises homme offrent une respirabilité exceptionnelle qui vous enveloppe d’une sensation de fraîcheur tout au long de la journée.</v>
      </c>
      <c r="BL24" t="str">
        <f t="shared" si="32"/>
        <v>Coupe moderne et intemporelle : ce modèle au design épuré mêle avec subtilité l’esprit classique et une touche contemporaine, pour un rendu aussi chic que décontracté, parfait pour vos journées estivales.</v>
      </c>
      <c r="BM24" t="str">
        <f t="shared" si="33"/>
        <v>Adaptée à toutes les situations : que vous flâniez en bord de mer, que vous participiez à un pique-nique entre amis ou que vous profitiez d’un moment de farniente à la maison, cette chemise en lin à manches longues s’impose comme la pièce maîtresse de vos tenues décontractées.</v>
      </c>
      <c r="BN24" t="str">
        <f t="shared" si="34"/>
        <v>Associations faciles et infinies : portez-la avec un bermuda, un pantalon en toile ou un jean brut, et vous obtiendrez en un clin d’œil une allure élégante et naturelle, qui passe sans effort de la lumière du jour aux soirées douces.</v>
      </c>
      <c r="BO24" t="str">
        <f t="shared" si="35"/>
        <v>Solidité et entretien simplifié : confectionnée selon un savoir-faire rigoureux, cette chemise d’été allie esthétique raffinée et praticité – elle supporte parfaitement le lavage en machine et conserve son éclat saison après saison, devenant vite un indispensable de votre dressing.</v>
      </c>
    </row>
    <row r="25" ht="50" hidden="1" customHeight="1" spans="1:67">
      <c r="A25" s="4" t="s">
        <v>296</v>
      </c>
      <c r="B25" s="4" t="s">
        <v>297</v>
      </c>
      <c r="C25" s="4" t="s">
        <v>229</v>
      </c>
      <c r="D25" s="4" t="str">
        <f t="shared" si="19"/>
        <v>Chemise Western Homme Imprimé Vintage Manches Longues</v>
      </c>
      <c r="E25" s="4" t="str">
        <f t="shared" si="20"/>
        <v>Géométrique Col Revers Boutonnage, Deux Poches Poitrine Plein Air, Western Décontracté Chemise Doux Lisse</v>
      </c>
      <c r="F25" s="4">
        <f t="shared" si="18"/>
        <v>105</v>
      </c>
      <c r="G25" s="4"/>
      <c r="H25" s="4"/>
      <c r="I25" s="4" t="s">
        <v>298</v>
      </c>
      <c r="J25" s="4" t="s">
        <v>257</v>
      </c>
      <c r="K25" s="4" t="s">
        <v>258</v>
      </c>
      <c r="L25" s="4" t="s">
        <v>299</v>
      </c>
      <c r="M25" s="4" t="s">
        <v>234</v>
      </c>
      <c r="N25" s="4" t="s">
        <v>235</v>
      </c>
      <c r="O25" s="4"/>
      <c r="P25" s="4" t="s">
        <v>300</v>
      </c>
      <c r="Q25" s="4" t="s">
        <v>301</v>
      </c>
      <c r="R25" s="4" t="s">
        <v>302</v>
      </c>
      <c r="S25" s="4" t="s">
        <v>303</v>
      </c>
      <c r="T25" s="4" t="s">
        <v>304</v>
      </c>
      <c r="U25" s="4"/>
      <c r="V25" s="4"/>
      <c r="W25" s="4"/>
      <c r="X25" s="4"/>
      <c r="Y25" s="4" t="s">
        <v>17</v>
      </c>
      <c r="Z25" s="4"/>
      <c r="AA25" s="4" t="s">
        <v>300</v>
      </c>
      <c r="AB25" s="4"/>
      <c r="AC25" s="4" t="s">
        <v>301</v>
      </c>
      <c r="AD25" s="4"/>
      <c r="AE25" s="4" t="s">
        <v>302</v>
      </c>
      <c r="AF25" s="4"/>
      <c r="AG25" s="4" t="s">
        <v>303</v>
      </c>
      <c r="AH25" s="4"/>
      <c r="AI25" s="4" t="s">
        <v>304</v>
      </c>
      <c r="AJ25" s="4" t="s">
        <v>45</v>
      </c>
      <c r="AK25" s="4" t="s">
        <v>45</v>
      </c>
      <c r="AL25" s="4" t="s">
        <v>45</v>
      </c>
      <c r="AM25" s="4" t="s">
        <v>45</v>
      </c>
      <c r="AN25" s="4" t="s">
        <v>45</v>
      </c>
      <c r="AO25" s="4" t="s">
        <v>45</v>
      </c>
      <c r="AP25" s="4" t="s">
        <v>45</v>
      </c>
      <c r="AQ25" s="4" t="s">
        <v>45</v>
      </c>
      <c r="AR25" s="4" t="s">
        <v>18</v>
      </c>
      <c r="AS25" s="4" t="s">
        <v>234</v>
      </c>
      <c r="AT25" s="4">
        <v>22.12</v>
      </c>
      <c r="AU25" s="4">
        <v>26.54</v>
      </c>
      <c r="AV25" s="4">
        <v>18.56</v>
      </c>
      <c r="AW25" s="4">
        <v>24.56</v>
      </c>
      <c r="AY25" t="str">
        <f t="shared" si="21"/>
        <v>Col rabattu</v>
      </c>
      <c r="AZ25" t="str">
        <f t="shared" si="22"/>
        <v>Décontracté</v>
      </c>
      <c r="BA25" t="str">
        <f t="shared" si="23"/>
        <v>Occidental</v>
      </c>
      <c r="BB25" t="str">
        <f t="shared" si="24"/>
        <v>Chemise</v>
      </c>
      <c r="BC25" t="str">
        <f t="shared" si="25"/>
        <v>Régulier</v>
      </c>
      <c r="BD25" t="str">
        <f t="shared" si="26"/>
        <v>Plaine</v>
      </c>
      <c r="BE25" t="str">
        <f t="shared" si="27"/>
        <v>Col cranté</v>
      </c>
      <c r="BG25" t="str">
        <f t="shared" si="28"/>
        <v>Manches longues</v>
      </c>
      <c r="BH25" t="str">
        <f t="shared" si="29"/>
        <v>Manchette</v>
      </c>
      <c r="BI25" t="str">
        <f t="shared" si="30"/>
        <v>Bouton</v>
      </c>
      <c r="BK25" t="str">
        <f t="shared" si="31"/>
        <v>Tissu ultra-légèrement aéré : grâce à une sélection de matières premières nobles, nos chemises homme offrent une respirabilité exceptionnelle qui vous enveloppe d’une sensation de fraîcheur tout au long de la journée.</v>
      </c>
      <c r="BL25" t="str">
        <f t="shared" si="32"/>
        <v>Coupe moderne et intemporelle : ce modèle au design épuré mêle avec subtilité l’esprit classique et une touche contemporaine, pour un rendu aussi chic que décontracté, parfait pour vos journées estivales.</v>
      </c>
      <c r="BM25" t="str">
        <f t="shared" si="33"/>
        <v>Adaptée à toutes les situations : que vous flâniez en bord de mer, que vous participiez à un pique-nique entre amis ou que vous profitiez d’un moment de farniente à la maison, cette chemise en lin à manches longues s’impose comme la pièce maîtresse de vos tenues décontractées.</v>
      </c>
      <c r="BN25" t="str">
        <f t="shared" si="34"/>
        <v>Associations faciles et infinies : portez-la avec un bermuda, un pantalon en toile ou un jean brut, et vous obtiendrez en un clin d’œil une allure élégante et naturelle, qui passe sans effort de la lumière du jour aux soirées douces.</v>
      </c>
      <c r="BO25" t="str">
        <f t="shared" si="35"/>
        <v>Solidité et entretien simplifié : confectionnée selon un savoir-faire rigoureux, cette chemise d’été allie esthétique raffinée et praticité – elle supporte parfaitement le lavage en machine et conserve son éclat saison après saison, devenant vite un indispensable de votre dressing.</v>
      </c>
    </row>
    <row r="26" ht="50" hidden="1" customHeight="1" spans="1:67">
      <c r="A26" s="4" t="s">
        <v>305</v>
      </c>
      <c r="B26" s="4" t="s">
        <v>306</v>
      </c>
      <c r="C26" s="4" t="s">
        <v>229</v>
      </c>
      <c r="D26" s="4" t="str">
        <f t="shared" si="19"/>
        <v>Chemise Western Homme Imprimé Vintage Manches Longues</v>
      </c>
      <c r="E26" s="4" t="str">
        <f t="shared" si="20"/>
        <v>Géométrique Col Revers Boutonnage, Deux Poches Poitrine Plein Air, Western Décontracté Chemise Doux Lisse</v>
      </c>
      <c r="F26" s="4">
        <f t="shared" si="18"/>
        <v>105</v>
      </c>
      <c r="G26" s="4"/>
      <c r="H26" s="4"/>
      <c r="I26" s="4" t="s">
        <v>307</v>
      </c>
      <c r="J26" s="4" t="s">
        <v>257</v>
      </c>
      <c r="K26" s="4" t="s">
        <v>258</v>
      </c>
      <c r="L26" s="4" t="s">
        <v>89</v>
      </c>
      <c r="M26" s="4" t="s">
        <v>308</v>
      </c>
      <c r="N26" s="4" t="s">
        <v>309</v>
      </c>
      <c r="O26" s="4"/>
      <c r="P26" s="4" t="s">
        <v>310</v>
      </c>
      <c r="Q26" s="4" t="s">
        <v>311</v>
      </c>
      <c r="R26" s="4" t="s">
        <v>312</v>
      </c>
      <c r="S26" s="4" t="s">
        <v>313</v>
      </c>
      <c r="T26" s="4" t="s">
        <v>314</v>
      </c>
      <c r="U26" s="4"/>
      <c r="V26" s="4"/>
      <c r="W26" s="4"/>
      <c r="X26" s="4"/>
      <c r="Y26" s="4" t="s">
        <v>17</v>
      </c>
      <c r="Z26" s="4"/>
      <c r="AA26" s="4" t="s">
        <v>310</v>
      </c>
      <c r="AB26" s="4"/>
      <c r="AC26" s="4" t="s">
        <v>311</v>
      </c>
      <c r="AD26" s="4"/>
      <c r="AE26" s="4" t="s">
        <v>312</v>
      </c>
      <c r="AF26" s="4"/>
      <c r="AG26" s="4" t="s">
        <v>313</v>
      </c>
      <c r="AH26" s="4"/>
      <c r="AI26" s="4" t="s">
        <v>314</v>
      </c>
      <c r="AJ26" s="4" t="s">
        <v>45</v>
      </c>
      <c r="AK26" s="4" t="s">
        <v>45</v>
      </c>
      <c r="AL26" s="4" t="s">
        <v>45</v>
      </c>
      <c r="AM26" s="4" t="s">
        <v>45</v>
      </c>
      <c r="AN26" s="4" t="s">
        <v>45</v>
      </c>
      <c r="AO26" s="4" t="s">
        <v>45</v>
      </c>
      <c r="AP26" s="4" t="s">
        <v>45</v>
      </c>
      <c r="AQ26" s="4" t="s">
        <v>45</v>
      </c>
      <c r="AR26" s="4" t="s">
        <v>18</v>
      </c>
      <c r="AS26" s="4" t="s">
        <v>308</v>
      </c>
      <c r="AT26" s="4">
        <v>22.35</v>
      </c>
      <c r="AU26" s="4">
        <v>26.82</v>
      </c>
      <c r="AV26" s="4">
        <v>18.84</v>
      </c>
      <c r="AW26" s="4">
        <v>24.84</v>
      </c>
      <c r="AY26" t="str">
        <f t="shared" si="21"/>
        <v>Col rabattu</v>
      </c>
      <c r="AZ26" t="str">
        <f t="shared" si="22"/>
        <v>Décontracté</v>
      </c>
      <c r="BA26" t="str">
        <f t="shared" si="23"/>
        <v>Occidental</v>
      </c>
      <c r="BB26" t="str">
        <f t="shared" si="24"/>
        <v>Chemise</v>
      </c>
      <c r="BC26" t="str">
        <f t="shared" si="25"/>
        <v>Régulier</v>
      </c>
      <c r="BD26" t="str">
        <f t="shared" si="26"/>
        <v>Plaine</v>
      </c>
      <c r="BE26" t="str">
        <f t="shared" si="27"/>
        <v>Col cranté</v>
      </c>
      <c r="BG26" t="str">
        <f t="shared" si="28"/>
        <v>Manches longues</v>
      </c>
      <c r="BH26" t="str">
        <f t="shared" si="29"/>
        <v>Manchette</v>
      </c>
      <c r="BI26" t="str">
        <f t="shared" si="30"/>
        <v>Bouton</v>
      </c>
      <c r="BK26" t="str">
        <f t="shared" si="31"/>
        <v>Tissu ultra-légèrement aéré : grâce à une sélection de matières premières nobles, nos chemises homme offrent une respirabilité exceptionnelle qui vous enveloppe d’une sensation de fraîcheur tout au long de la journée.</v>
      </c>
      <c r="BL26" t="str">
        <f t="shared" si="32"/>
        <v>Coupe moderne et intemporelle : ce modèle au design épuré mêle avec subtilité l’esprit classique et une touche contemporaine, pour un rendu aussi chic que décontracté, parfait pour vos journées estivales.</v>
      </c>
      <c r="BM26" t="str">
        <f t="shared" si="33"/>
        <v>Adaptée à toutes les situations : que vous flâniez en bord de mer, que vous participiez à un pique-nique entre amis ou que vous profitiez d’un moment de farniente à la maison, cette chemise en lin à manches longues s’impose comme la pièce maîtresse de vos tenues décontractées.</v>
      </c>
      <c r="BN26" t="str">
        <f t="shared" si="34"/>
        <v>Associations faciles et infinies : portez-la avec un bermuda, un pantalon en toile ou un jean brut, et vous obtiendrez en un clin d’œil une allure élégante et naturelle, qui passe sans effort de la lumière du jour aux soirées douces.</v>
      </c>
      <c r="BO26" t="str">
        <f t="shared" si="35"/>
        <v>Solidité et entretien simplifié : confectionnée selon un savoir-faire rigoureux, cette chemise d’été allie esthétique raffinée et praticité – elle supporte parfaitement le lavage en machine et conserve son éclat saison après saison, devenant vite un indispensable de votre dressing.</v>
      </c>
    </row>
  </sheetData>
  <autoFilter xmlns:etc="http://www.wps.cn/officeDocument/2017/etCustomData" ref="A1:F26" etc:filterBottomFollowUsedRange="0">
    <filterColumn colId="0">
      <colorFilter dxfId="0"/>
    </filterColumn>
    <extLst/>
  </autoFilter>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0"/>
  <sheetViews>
    <sheetView topLeftCell="A83" workbookViewId="0">
      <selection activeCell="A97" sqref="A97:E100"/>
    </sheetView>
  </sheetViews>
  <sheetFormatPr defaultColWidth="9" defaultRowHeight="13.5"/>
  <sheetData>
    <row r="1" spans="1:19">
      <c r="A1" t="s">
        <v>19</v>
      </c>
      <c r="B1" t="s">
        <v>20</v>
      </c>
      <c r="C1" t="s">
        <v>21</v>
      </c>
      <c r="G1" t="s">
        <v>22</v>
      </c>
      <c r="H1" t="s">
        <v>23</v>
      </c>
      <c r="I1" t="s">
        <v>24</v>
      </c>
      <c r="J1" t="s">
        <v>25</v>
      </c>
      <c r="M1" t="s">
        <v>26</v>
      </c>
      <c r="N1" t="s">
        <v>27</v>
      </c>
      <c r="O1" t="s">
        <v>28</v>
      </c>
      <c r="R1" t="s">
        <v>2</v>
      </c>
      <c r="S1" t="s">
        <v>3</v>
      </c>
    </row>
    <row r="2" spans="1:19">
      <c r="A2" t="s">
        <v>245</v>
      </c>
      <c r="B2" t="s">
        <v>20</v>
      </c>
      <c r="C2" t="s">
        <v>246</v>
      </c>
      <c r="G2" t="s">
        <v>22</v>
      </c>
      <c r="H2" t="s">
        <v>247</v>
      </c>
      <c r="I2" t="s">
        <v>24</v>
      </c>
      <c r="J2" t="s">
        <v>248</v>
      </c>
      <c r="M2" t="s">
        <v>26</v>
      </c>
      <c r="N2" t="s">
        <v>27</v>
      </c>
      <c r="O2" t="s">
        <v>28</v>
      </c>
      <c r="R2" t="s">
        <v>230</v>
      </c>
      <c r="S2" t="s">
        <v>231</v>
      </c>
    </row>
    <row r="3" spans="1:19">
      <c r="A3" t="s">
        <v>315</v>
      </c>
      <c r="B3" t="s">
        <v>316</v>
      </c>
      <c r="C3" t="s">
        <v>246</v>
      </c>
      <c r="G3" t="s">
        <v>22</v>
      </c>
      <c r="H3" t="s">
        <v>317</v>
      </c>
      <c r="I3" t="s">
        <v>24</v>
      </c>
      <c r="J3" t="s">
        <v>248</v>
      </c>
      <c r="M3" t="s">
        <v>26</v>
      </c>
      <c r="N3" t="s">
        <v>27</v>
      </c>
      <c r="O3" t="s">
        <v>28</v>
      </c>
      <c r="R3" t="s">
        <v>318</v>
      </c>
      <c r="S3" t="s">
        <v>319</v>
      </c>
    </row>
    <row r="4" spans="1:19">
      <c r="A4" t="s">
        <v>245</v>
      </c>
      <c r="B4" t="s">
        <v>316</v>
      </c>
      <c r="C4" t="s">
        <v>320</v>
      </c>
      <c r="G4" t="s">
        <v>22</v>
      </c>
      <c r="H4" t="s">
        <v>247</v>
      </c>
      <c r="I4" t="s">
        <v>24</v>
      </c>
      <c r="J4" t="s">
        <v>248</v>
      </c>
      <c r="M4" t="s">
        <v>26</v>
      </c>
      <c r="N4" t="s">
        <v>27</v>
      </c>
      <c r="O4" t="s">
        <v>28</v>
      </c>
      <c r="R4" t="s">
        <v>321</v>
      </c>
      <c r="S4" t="s">
        <v>322</v>
      </c>
    </row>
    <row r="5" spans="1:19">
      <c r="A5" t="s">
        <v>19</v>
      </c>
      <c r="B5" t="s">
        <v>323</v>
      </c>
      <c r="C5" t="s">
        <v>324</v>
      </c>
      <c r="G5" t="s">
        <v>325</v>
      </c>
      <c r="H5" t="s">
        <v>23</v>
      </c>
      <c r="I5" t="s">
        <v>24</v>
      </c>
      <c r="J5" t="s">
        <v>25</v>
      </c>
      <c r="M5" t="s">
        <v>26</v>
      </c>
      <c r="N5" t="s">
        <v>27</v>
      </c>
      <c r="O5" t="s">
        <v>326</v>
      </c>
      <c r="R5" t="s">
        <v>327</v>
      </c>
      <c r="S5" t="s">
        <v>328</v>
      </c>
    </row>
    <row r="6" spans="1:19">
      <c r="A6" t="s">
        <v>19</v>
      </c>
      <c r="B6" t="s">
        <v>323</v>
      </c>
      <c r="C6" t="s">
        <v>324</v>
      </c>
      <c r="G6" t="s">
        <v>325</v>
      </c>
      <c r="H6" t="s">
        <v>23</v>
      </c>
      <c r="I6" t="s">
        <v>329</v>
      </c>
      <c r="J6" t="s">
        <v>330</v>
      </c>
      <c r="M6" t="s">
        <v>26</v>
      </c>
      <c r="N6" t="s">
        <v>27</v>
      </c>
      <c r="O6" t="s">
        <v>28</v>
      </c>
      <c r="R6" t="s">
        <v>331</v>
      </c>
      <c r="S6" t="s">
        <v>332</v>
      </c>
    </row>
    <row r="7" spans="1:19">
      <c r="A7" t="s">
        <v>333</v>
      </c>
      <c r="B7" t="s">
        <v>334</v>
      </c>
      <c r="C7" t="s">
        <v>317</v>
      </c>
      <c r="G7" t="s">
        <v>22</v>
      </c>
      <c r="H7" t="s">
        <v>317</v>
      </c>
      <c r="I7" t="s">
        <v>335</v>
      </c>
      <c r="J7" t="s">
        <v>248</v>
      </c>
      <c r="M7" t="s">
        <v>26</v>
      </c>
      <c r="N7" t="s">
        <v>27</v>
      </c>
      <c r="O7" t="s">
        <v>28</v>
      </c>
      <c r="R7" t="s">
        <v>336</v>
      </c>
      <c r="S7" t="s">
        <v>337</v>
      </c>
    </row>
    <row r="8" spans="1:19">
      <c r="A8" t="s">
        <v>315</v>
      </c>
      <c r="B8" t="s">
        <v>334</v>
      </c>
      <c r="C8" t="s">
        <v>338</v>
      </c>
      <c r="G8" t="s">
        <v>22</v>
      </c>
      <c r="H8" t="s">
        <v>339</v>
      </c>
      <c r="I8" t="s">
        <v>329</v>
      </c>
      <c r="J8" t="s">
        <v>248</v>
      </c>
      <c r="M8" t="s">
        <v>26</v>
      </c>
      <c r="N8" t="s">
        <v>27</v>
      </c>
      <c r="O8" t="s">
        <v>28</v>
      </c>
      <c r="R8" t="s">
        <v>340</v>
      </c>
      <c r="S8" t="s">
        <v>341</v>
      </c>
    </row>
    <row r="9" spans="1:19">
      <c r="A9" t="s">
        <v>245</v>
      </c>
      <c r="B9" t="s">
        <v>316</v>
      </c>
      <c r="C9" t="s">
        <v>338</v>
      </c>
      <c r="G9" t="s">
        <v>22</v>
      </c>
      <c r="H9" t="s">
        <v>23</v>
      </c>
      <c r="I9" t="s">
        <v>24</v>
      </c>
      <c r="J9" t="s">
        <v>248</v>
      </c>
      <c r="M9" t="s">
        <v>26</v>
      </c>
      <c r="N9" t="s">
        <v>27</v>
      </c>
      <c r="O9" t="s">
        <v>28</v>
      </c>
      <c r="R9" t="s">
        <v>342</v>
      </c>
      <c r="S9" t="s">
        <v>343</v>
      </c>
    </row>
    <row r="10" spans="1:19">
      <c r="A10" t="s">
        <v>344</v>
      </c>
      <c r="B10" t="s">
        <v>20</v>
      </c>
      <c r="C10" t="s">
        <v>345</v>
      </c>
      <c r="G10" t="s">
        <v>345</v>
      </c>
      <c r="H10" t="s">
        <v>317</v>
      </c>
      <c r="I10" t="s">
        <v>346</v>
      </c>
      <c r="J10" t="s">
        <v>344</v>
      </c>
      <c r="M10" t="s">
        <v>26</v>
      </c>
      <c r="N10" t="s">
        <v>27</v>
      </c>
      <c r="O10" t="s">
        <v>347</v>
      </c>
      <c r="R10" t="s">
        <v>348</v>
      </c>
      <c r="S10" t="s">
        <v>349</v>
      </c>
    </row>
    <row r="11" spans="1:19">
      <c r="A11" t="s">
        <v>350</v>
      </c>
      <c r="B11" t="s">
        <v>334</v>
      </c>
      <c r="C11" t="s">
        <v>338</v>
      </c>
      <c r="G11" t="s">
        <v>351</v>
      </c>
      <c r="H11" t="s">
        <v>317</v>
      </c>
      <c r="I11" t="s">
        <v>24</v>
      </c>
      <c r="J11" t="s">
        <v>248</v>
      </c>
      <c r="M11" t="s">
        <v>26</v>
      </c>
      <c r="N11" t="s">
        <v>27</v>
      </c>
      <c r="O11" t="s">
        <v>28</v>
      </c>
      <c r="R11" t="s">
        <v>352</v>
      </c>
      <c r="S11" t="s">
        <v>353</v>
      </c>
    </row>
    <row r="12" spans="1:19">
      <c r="A12" t="s">
        <v>19</v>
      </c>
      <c r="B12" t="s">
        <v>20</v>
      </c>
      <c r="C12" t="s">
        <v>21</v>
      </c>
      <c r="G12" t="s">
        <v>354</v>
      </c>
      <c r="H12" t="s">
        <v>23</v>
      </c>
      <c r="I12" t="s">
        <v>24</v>
      </c>
      <c r="J12" t="s">
        <v>355</v>
      </c>
      <c r="M12" t="s">
        <v>26</v>
      </c>
      <c r="N12" t="s">
        <v>27</v>
      </c>
      <c r="O12" t="s">
        <v>347</v>
      </c>
      <c r="R12" t="s">
        <v>356</v>
      </c>
      <c r="S12" t="s">
        <v>357</v>
      </c>
    </row>
    <row r="13" spans="1:19">
      <c r="A13" t="s">
        <v>245</v>
      </c>
      <c r="B13" t="s">
        <v>20</v>
      </c>
      <c r="C13" t="s">
        <v>338</v>
      </c>
      <c r="G13" t="s">
        <v>22</v>
      </c>
      <c r="H13" t="s">
        <v>317</v>
      </c>
      <c r="I13" t="s">
        <v>24</v>
      </c>
      <c r="J13" t="s">
        <v>248</v>
      </c>
      <c r="M13" t="s">
        <v>26</v>
      </c>
      <c r="N13" t="s">
        <v>27</v>
      </c>
      <c r="O13" t="s">
        <v>28</v>
      </c>
      <c r="R13" t="s">
        <v>358</v>
      </c>
      <c r="S13" t="s">
        <v>359</v>
      </c>
    </row>
    <row r="14" spans="1:19">
      <c r="A14" t="s">
        <v>245</v>
      </c>
      <c r="B14" t="s">
        <v>316</v>
      </c>
      <c r="C14" t="s">
        <v>360</v>
      </c>
      <c r="G14" t="s">
        <v>22</v>
      </c>
      <c r="H14" t="s">
        <v>317</v>
      </c>
      <c r="I14" t="s">
        <v>24</v>
      </c>
      <c r="J14" t="s">
        <v>248</v>
      </c>
      <c r="M14" t="s">
        <v>26</v>
      </c>
      <c r="N14" t="s">
        <v>27</v>
      </c>
      <c r="O14" t="s">
        <v>28</v>
      </c>
      <c r="R14" t="s">
        <v>361</v>
      </c>
      <c r="S14" t="s">
        <v>362</v>
      </c>
    </row>
    <row r="15" spans="1:19">
      <c r="A15" t="s">
        <v>245</v>
      </c>
      <c r="B15" t="s">
        <v>316</v>
      </c>
      <c r="C15" t="s">
        <v>246</v>
      </c>
      <c r="G15" t="s">
        <v>22</v>
      </c>
      <c r="H15" t="s">
        <v>317</v>
      </c>
      <c r="I15" t="s">
        <v>24</v>
      </c>
      <c r="J15" t="s">
        <v>248</v>
      </c>
      <c r="M15" t="s">
        <v>26</v>
      </c>
      <c r="N15" t="s">
        <v>27</v>
      </c>
      <c r="O15" t="s">
        <v>28</v>
      </c>
      <c r="R15" t="s">
        <v>363</v>
      </c>
      <c r="S15" t="s">
        <v>364</v>
      </c>
    </row>
    <row r="16" spans="1:19">
      <c r="A16" t="s">
        <v>245</v>
      </c>
      <c r="B16" t="s">
        <v>20</v>
      </c>
      <c r="C16" t="s">
        <v>246</v>
      </c>
      <c r="G16" t="s">
        <v>22</v>
      </c>
      <c r="H16" t="s">
        <v>23</v>
      </c>
      <c r="I16" t="s">
        <v>335</v>
      </c>
      <c r="J16" t="s">
        <v>248</v>
      </c>
      <c r="M16" t="s">
        <v>26</v>
      </c>
      <c r="N16" t="s">
        <v>27</v>
      </c>
      <c r="O16" t="s">
        <v>365</v>
      </c>
      <c r="R16" t="s">
        <v>366</v>
      </c>
      <c r="S16" t="s">
        <v>367</v>
      </c>
    </row>
    <row r="17" spans="1:19">
      <c r="A17" t="s">
        <v>368</v>
      </c>
      <c r="B17" t="s">
        <v>20</v>
      </c>
      <c r="C17" t="s">
        <v>369</v>
      </c>
      <c r="G17" t="s">
        <v>22</v>
      </c>
      <c r="H17" t="s">
        <v>317</v>
      </c>
      <c r="I17" t="s">
        <v>24</v>
      </c>
      <c r="J17" t="s">
        <v>370</v>
      </c>
      <c r="M17" t="s">
        <v>26</v>
      </c>
      <c r="N17" t="s">
        <v>27</v>
      </c>
      <c r="O17" t="s">
        <v>371</v>
      </c>
      <c r="R17" t="s">
        <v>372</v>
      </c>
      <c r="S17" t="s">
        <v>373</v>
      </c>
    </row>
    <row r="18" spans="1:19">
      <c r="A18" t="s">
        <v>245</v>
      </c>
      <c r="B18" t="s">
        <v>20</v>
      </c>
      <c r="C18" t="s">
        <v>21</v>
      </c>
      <c r="G18" t="s">
        <v>22</v>
      </c>
      <c r="H18" t="s">
        <v>23</v>
      </c>
      <c r="I18" t="s">
        <v>24</v>
      </c>
      <c r="J18" t="s">
        <v>248</v>
      </c>
      <c r="M18" t="s">
        <v>26</v>
      </c>
      <c r="N18" t="s">
        <v>27</v>
      </c>
      <c r="O18" t="s">
        <v>28</v>
      </c>
      <c r="R18" t="s">
        <v>374</v>
      </c>
      <c r="S18" t="s">
        <v>375</v>
      </c>
    </row>
    <row r="19" spans="1:19">
      <c r="A19" t="s">
        <v>344</v>
      </c>
      <c r="B19" t="s">
        <v>316</v>
      </c>
      <c r="C19" t="s">
        <v>376</v>
      </c>
      <c r="G19" t="s">
        <v>345</v>
      </c>
      <c r="H19" t="s">
        <v>317</v>
      </c>
      <c r="I19" t="s">
        <v>24</v>
      </c>
      <c r="J19" t="s">
        <v>344</v>
      </c>
      <c r="M19" t="s">
        <v>26</v>
      </c>
      <c r="N19" t="s">
        <v>27</v>
      </c>
      <c r="O19" t="s">
        <v>347</v>
      </c>
      <c r="R19" t="s">
        <v>377</v>
      </c>
      <c r="S19" t="s">
        <v>378</v>
      </c>
    </row>
    <row r="20" spans="1:19">
      <c r="A20" t="s">
        <v>19</v>
      </c>
      <c r="B20" t="s">
        <v>20</v>
      </c>
      <c r="C20" t="s">
        <v>21</v>
      </c>
      <c r="G20" t="s">
        <v>379</v>
      </c>
      <c r="H20" t="s">
        <v>23</v>
      </c>
      <c r="I20" t="s">
        <v>24</v>
      </c>
      <c r="J20" t="s">
        <v>25</v>
      </c>
      <c r="M20" t="s">
        <v>26</v>
      </c>
      <c r="N20" t="s">
        <v>27</v>
      </c>
      <c r="O20" t="s">
        <v>28</v>
      </c>
      <c r="R20" t="s">
        <v>380</v>
      </c>
      <c r="S20" t="s">
        <v>381</v>
      </c>
    </row>
    <row r="21" spans="1:19">
      <c r="A21" t="s">
        <v>315</v>
      </c>
      <c r="B21" t="s">
        <v>382</v>
      </c>
      <c r="C21" t="s">
        <v>320</v>
      </c>
      <c r="G21" t="s">
        <v>22</v>
      </c>
      <c r="H21" t="s">
        <v>317</v>
      </c>
      <c r="I21" t="s">
        <v>24</v>
      </c>
      <c r="J21" t="s">
        <v>248</v>
      </c>
      <c r="M21" t="s">
        <v>26</v>
      </c>
      <c r="N21" t="s">
        <v>27</v>
      </c>
      <c r="O21" t="s">
        <v>28</v>
      </c>
      <c r="R21" t="s">
        <v>383</v>
      </c>
      <c r="S21" t="s">
        <v>384</v>
      </c>
    </row>
    <row r="22" spans="1:19">
      <c r="A22" t="s">
        <v>245</v>
      </c>
      <c r="B22" t="s">
        <v>20</v>
      </c>
      <c r="C22" t="s">
        <v>317</v>
      </c>
      <c r="G22" t="s">
        <v>22</v>
      </c>
      <c r="H22" t="s">
        <v>317</v>
      </c>
      <c r="I22" t="s">
        <v>24</v>
      </c>
      <c r="J22" t="s">
        <v>248</v>
      </c>
      <c r="M22" t="s">
        <v>26</v>
      </c>
      <c r="N22" t="s">
        <v>27</v>
      </c>
      <c r="O22" t="s">
        <v>28</v>
      </c>
      <c r="R22" t="s">
        <v>385</v>
      </c>
      <c r="S22" t="s">
        <v>386</v>
      </c>
    </row>
    <row r="23" spans="1:19">
      <c r="A23" t="s">
        <v>368</v>
      </c>
      <c r="B23" t="s">
        <v>20</v>
      </c>
      <c r="C23" t="s">
        <v>21</v>
      </c>
      <c r="G23" t="s">
        <v>379</v>
      </c>
      <c r="H23" t="s">
        <v>23</v>
      </c>
      <c r="I23" t="s">
        <v>24</v>
      </c>
      <c r="J23" t="s">
        <v>387</v>
      </c>
      <c r="M23" t="s">
        <v>26</v>
      </c>
      <c r="N23" t="s">
        <v>27</v>
      </c>
      <c r="O23" t="s">
        <v>28</v>
      </c>
      <c r="R23" t="s">
        <v>388</v>
      </c>
      <c r="S23" t="s">
        <v>389</v>
      </c>
    </row>
    <row r="24" spans="1:19">
      <c r="A24" t="s">
        <v>344</v>
      </c>
      <c r="B24" t="s">
        <v>390</v>
      </c>
      <c r="C24" t="s">
        <v>391</v>
      </c>
      <c r="G24" t="s">
        <v>392</v>
      </c>
      <c r="H24" t="s">
        <v>317</v>
      </c>
      <c r="I24" t="s">
        <v>24</v>
      </c>
      <c r="J24" t="s">
        <v>344</v>
      </c>
      <c r="M24" t="s">
        <v>26</v>
      </c>
      <c r="N24" t="s">
        <v>27</v>
      </c>
      <c r="O24" t="s">
        <v>347</v>
      </c>
      <c r="R24" t="s">
        <v>393</v>
      </c>
      <c r="S24" t="s">
        <v>394</v>
      </c>
    </row>
    <row r="25" spans="1:19">
      <c r="A25" t="s">
        <v>245</v>
      </c>
      <c r="B25" t="s">
        <v>316</v>
      </c>
      <c r="C25" t="s">
        <v>360</v>
      </c>
      <c r="G25" t="s">
        <v>22</v>
      </c>
      <c r="H25" t="s">
        <v>317</v>
      </c>
      <c r="I25" t="s">
        <v>24</v>
      </c>
      <c r="J25" t="s">
        <v>248</v>
      </c>
      <c r="M25" t="s">
        <v>26</v>
      </c>
      <c r="N25" t="s">
        <v>27</v>
      </c>
      <c r="O25" t="s">
        <v>28</v>
      </c>
      <c r="R25" t="s">
        <v>395</v>
      </c>
      <c r="S25" t="s">
        <v>396</v>
      </c>
    </row>
    <row r="26" spans="1:19">
      <c r="A26" t="s">
        <v>19</v>
      </c>
      <c r="B26" t="s">
        <v>20</v>
      </c>
      <c r="C26" t="s">
        <v>369</v>
      </c>
      <c r="G26" t="s">
        <v>354</v>
      </c>
      <c r="H26" t="s">
        <v>23</v>
      </c>
      <c r="I26" t="s">
        <v>24</v>
      </c>
      <c r="J26" t="s">
        <v>355</v>
      </c>
      <c r="M26" t="s">
        <v>26</v>
      </c>
      <c r="N26" t="s">
        <v>27</v>
      </c>
      <c r="O26" t="s">
        <v>371</v>
      </c>
      <c r="R26" t="s">
        <v>397</v>
      </c>
      <c r="S26" t="s">
        <v>398</v>
      </c>
    </row>
    <row r="27" spans="1:19">
      <c r="A27" t="s">
        <v>399</v>
      </c>
      <c r="B27" t="s">
        <v>400</v>
      </c>
      <c r="C27" t="s">
        <v>345</v>
      </c>
      <c r="G27" t="s">
        <v>345</v>
      </c>
      <c r="H27" t="s">
        <v>401</v>
      </c>
      <c r="I27" t="s">
        <v>24</v>
      </c>
      <c r="J27" t="s">
        <v>402</v>
      </c>
      <c r="M27" t="s">
        <v>26</v>
      </c>
      <c r="N27" t="s">
        <v>27</v>
      </c>
      <c r="O27" t="s">
        <v>347</v>
      </c>
      <c r="R27" t="s">
        <v>403</v>
      </c>
      <c r="S27" t="s">
        <v>404</v>
      </c>
    </row>
    <row r="28" spans="1:19">
      <c r="A28" t="s">
        <v>245</v>
      </c>
      <c r="B28" t="s">
        <v>316</v>
      </c>
      <c r="C28" t="s">
        <v>376</v>
      </c>
      <c r="G28" t="s">
        <v>22</v>
      </c>
      <c r="H28" t="s">
        <v>317</v>
      </c>
      <c r="I28" t="s">
        <v>24</v>
      </c>
      <c r="J28" t="s">
        <v>248</v>
      </c>
      <c r="M28" t="s">
        <v>26</v>
      </c>
      <c r="N28" t="s">
        <v>27</v>
      </c>
      <c r="O28" t="s">
        <v>28</v>
      </c>
      <c r="R28" t="s">
        <v>405</v>
      </c>
      <c r="S28" t="s">
        <v>406</v>
      </c>
    </row>
    <row r="29" spans="1:19">
      <c r="A29" t="s">
        <v>245</v>
      </c>
      <c r="B29" t="s">
        <v>316</v>
      </c>
      <c r="C29" t="s">
        <v>376</v>
      </c>
      <c r="G29" t="s">
        <v>22</v>
      </c>
      <c r="H29" t="s">
        <v>317</v>
      </c>
      <c r="I29" t="s">
        <v>24</v>
      </c>
      <c r="J29" t="s">
        <v>248</v>
      </c>
      <c r="M29" t="s">
        <v>26</v>
      </c>
      <c r="N29" t="s">
        <v>27</v>
      </c>
      <c r="O29" t="s">
        <v>28</v>
      </c>
      <c r="R29" t="s">
        <v>407</v>
      </c>
      <c r="S29" t="s">
        <v>408</v>
      </c>
    </row>
    <row r="30" spans="1:19">
      <c r="A30" t="s">
        <v>245</v>
      </c>
      <c r="B30" t="s">
        <v>316</v>
      </c>
      <c r="C30" t="s">
        <v>376</v>
      </c>
      <c r="G30" t="s">
        <v>22</v>
      </c>
      <c r="H30" t="s">
        <v>317</v>
      </c>
      <c r="I30" t="s">
        <v>24</v>
      </c>
      <c r="J30" t="s">
        <v>248</v>
      </c>
      <c r="M30" t="s">
        <v>26</v>
      </c>
      <c r="N30" t="s">
        <v>27</v>
      </c>
      <c r="O30" t="s">
        <v>28</v>
      </c>
      <c r="R30" t="s">
        <v>409</v>
      </c>
      <c r="S30" t="s">
        <v>410</v>
      </c>
    </row>
    <row r="31" spans="1:19">
      <c r="A31" t="s">
        <v>245</v>
      </c>
      <c r="B31" t="s">
        <v>334</v>
      </c>
      <c r="C31" t="s">
        <v>338</v>
      </c>
      <c r="G31" t="s">
        <v>22</v>
      </c>
      <c r="H31" t="s">
        <v>339</v>
      </c>
      <c r="I31" t="s">
        <v>24</v>
      </c>
      <c r="J31" t="s">
        <v>248</v>
      </c>
      <c r="M31" t="s">
        <v>26</v>
      </c>
      <c r="N31" t="s">
        <v>27</v>
      </c>
      <c r="O31" t="s">
        <v>28</v>
      </c>
      <c r="R31" t="s">
        <v>411</v>
      </c>
      <c r="S31" t="s">
        <v>412</v>
      </c>
    </row>
    <row r="32" spans="1:19">
      <c r="A32" t="s">
        <v>245</v>
      </c>
      <c r="B32" t="s">
        <v>316</v>
      </c>
      <c r="C32" t="s">
        <v>376</v>
      </c>
      <c r="G32" t="s">
        <v>22</v>
      </c>
      <c r="H32" t="s">
        <v>317</v>
      </c>
      <c r="I32" t="s">
        <v>24</v>
      </c>
      <c r="J32" t="s">
        <v>248</v>
      </c>
      <c r="M32" t="s">
        <v>26</v>
      </c>
      <c r="N32" t="s">
        <v>27</v>
      </c>
      <c r="O32" t="s">
        <v>28</v>
      </c>
      <c r="R32" t="s">
        <v>413</v>
      </c>
      <c r="S32" t="s">
        <v>414</v>
      </c>
    </row>
    <row r="33" spans="1:19">
      <c r="A33" t="s">
        <v>245</v>
      </c>
      <c r="B33" t="s">
        <v>20</v>
      </c>
      <c r="C33" t="s">
        <v>391</v>
      </c>
      <c r="G33" t="s">
        <v>415</v>
      </c>
      <c r="H33" t="s">
        <v>23</v>
      </c>
      <c r="I33" t="s">
        <v>335</v>
      </c>
      <c r="J33" t="s">
        <v>248</v>
      </c>
      <c r="M33" t="s">
        <v>26</v>
      </c>
      <c r="N33" t="s">
        <v>27</v>
      </c>
      <c r="O33" t="s">
        <v>28</v>
      </c>
      <c r="R33" t="s">
        <v>416</v>
      </c>
      <c r="S33" t="s">
        <v>417</v>
      </c>
    </row>
    <row r="34" spans="1:19">
      <c r="A34" t="s">
        <v>418</v>
      </c>
      <c r="B34" t="s">
        <v>334</v>
      </c>
      <c r="C34" t="s">
        <v>317</v>
      </c>
      <c r="G34" t="s">
        <v>419</v>
      </c>
      <c r="H34" t="s">
        <v>420</v>
      </c>
      <c r="I34" t="s">
        <v>346</v>
      </c>
      <c r="J34" t="s">
        <v>248</v>
      </c>
      <c r="M34" t="s">
        <v>26</v>
      </c>
      <c r="N34" t="s">
        <v>27</v>
      </c>
      <c r="O34" t="s">
        <v>28</v>
      </c>
      <c r="R34" t="s">
        <v>421</v>
      </c>
      <c r="S34" t="s">
        <v>422</v>
      </c>
    </row>
    <row r="35" spans="1:19">
      <c r="A35" t="s">
        <v>245</v>
      </c>
      <c r="B35" t="s">
        <v>316</v>
      </c>
      <c r="C35" t="s">
        <v>376</v>
      </c>
      <c r="G35" t="s">
        <v>22</v>
      </c>
      <c r="H35" t="s">
        <v>317</v>
      </c>
      <c r="I35" t="s">
        <v>24</v>
      </c>
      <c r="J35" t="s">
        <v>248</v>
      </c>
      <c r="M35" t="s">
        <v>26</v>
      </c>
      <c r="N35" t="s">
        <v>27</v>
      </c>
      <c r="O35" t="s">
        <v>28</v>
      </c>
      <c r="R35" t="s">
        <v>423</v>
      </c>
      <c r="S35" t="s">
        <v>424</v>
      </c>
    </row>
    <row r="36" spans="1:19">
      <c r="A36" t="s">
        <v>245</v>
      </c>
      <c r="B36" t="s">
        <v>316</v>
      </c>
      <c r="C36" t="s">
        <v>376</v>
      </c>
      <c r="G36" t="s">
        <v>22</v>
      </c>
      <c r="H36" t="s">
        <v>317</v>
      </c>
      <c r="I36" t="s">
        <v>24</v>
      </c>
      <c r="J36" t="s">
        <v>248</v>
      </c>
      <c r="M36" t="s">
        <v>26</v>
      </c>
      <c r="N36" t="s">
        <v>27</v>
      </c>
      <c r="O36" t="s">
        <v>28</v>
      </c>
      <c r="R36" t="s">
        <v>425</v>
      </c>
      <c r="S36" t="s">
        <v>426</v>
      </c>
    </row>
    <row r="37" spans="1:19">
      <c r="A37" t="s">
        <v>368</v>
      </c>
      <c r="B37" t="s">
        <v>400</v>
      </c>
      <c r="C37" t="s">
        <v>345</v>
      </c>
      <c r="G37" t="s">
        <v>345</v>
      </c>
      <c r="H37" t="s">
        <v>427</v>
      </c>
      <c r="I37" t="s">
        <v>24</v>
      </c>
      <c r="J37" t="s">
        <v>387</v>
      </c>
      <c r="M37" t="s">
        <v>26</v>
      </c>
      <c r="N37" t="s">
        <v>428</v>
      </c>
      <c r="O37" t="s">
        <v>347</v>
      </c>
      <c r="R37" t="s">
        <v>429</v>
      </c>
      <c r="S37" t="s">
        <v>430</v>
      </c>
    </row>
    <row r="38" spans="1:19">
      <c r="A38" t="s">
        <v>245</v>
      </c>
      <c r="B38" t="s">
        <v>334</v>
      </c>
      <c r="C38" t="s">
        <v>338</v>
      </c>
      <c r="G38" t="s">
        <v>22</v>
      </c>
      <c r="H38" t="s">
        <v>401</v>
      </c>
      <c r="I38" t="s">
        <v>24</v>
      </c>
      <c r="J38" t="s">
        <v>248</v>
      </c>
      <c r="M38" t="s">
        <v>26</v>
      </c>
      <c r="N38" t="s">
        <v>27</v>
      </c>
      <c r="O38" t="s">
        <v>28</v>
      </c>
      <c r="R38" t="s">
        <v>431</v>
      </c>
      <c r="S38" t="s">
        <v>432</v>
      </c>
    </row>
    <row r="39" spans="1:19">
      <c r="A39" t="s">
        <v>245</v>
      </c>
      <c r="B39" t="s">
        <v>316</v>
      </c>
      <c r="C39" t="s">
        <v>320</v>
      </c>
      <c r="G39" t="s">
        <v>22</v>
      </c>
      <c r="H39" t="s">
        <v>23</v>
      </c>
      <c r="I39" t="s">
        <v>24</v>
      </c>
      <c r="J39" t="s">
        <v>248</v>
      </c>
      <c r="M39" t="s">
        <v>26</v>
      </c>
      <c r="N39" t="s">
        <v>27</v>
      </c>
      <c r="O39" t="s">
        <v>28</v>
      </c>
      <c r="R39" t="s">
        <v>433</v>
      </c>
      <c r="S39" t="s">
        <v>434</v>
      </c>
    </row>
    <row r="40" spans="1:19">
      <c r="A40" t="s">
        <v>344</v>
      </c>
      <c r="B40" t="s">
        <v>20</v>
      </c>
      <c r="C40" t="s">
        <v>345</v>
      </c>
      <c r="G40" t="s">
        <v>345</v>
      </c>
      <c r="H40" t="s">
        <v>23</v>
      </c>
      <c r="I40" t="s">
        <v>24</v>
      </c>
      <c r="J40" t="s">
        <v>344</v>
      </c>
      <c r="M40" t="s">
        <v>26</v>
      </c>
      <c r="N40" t="s">
        <v>27</v>
      </c>
      <c r="O40" t="s">
        <v>347</v>
      </c>
      <c r="R40" t="s">
        <v>435</v>
      </c>
      <c r="S40" t="s">
        <v>436</v>
      </c>
    </row>
    <row r="41" spans="1:19">
      <c r="A41" t="s">
        <v>245</v>
      </c>
      <c r="B41" t="s">
        <v>316</v>
      </c>
      <c r="C41" t="s">
        <v>338</v>
      </c>
      <c r="G41" t="s">
        <v>22</v>
      </c>
      <c r="H41" t="s">
        <v>317</v>
      </c>
      <c r="I41" t="s">
        <v>24</v>
      </c>
      <c r="J41" t="s">
        <v>248</v>
      </c>
      <c r="M41" t="s">
        <v>26</v>
      </c>
      <c r="N41" t="s">
        <v>27</v>
      </c>
      <c r="O41" t="s">
        <v>28</v>
      </c>
      <c r="R41" t="s">
        <v>437</v>
      </c>
      <c r="S41" t="s">
        <v>438</v>
      </c>
    </row>
    <row r="42" spans="1:19">
      <c r="A42" t="s">
        <v>245</v>
      </c>
      <c r="B42" t="s">
        <v>316</v>
      </c>
      <c r="C42" t="s">
        <v>338</v>
      </c>
      <c r="G42" t="s">
        <v>22</v>
      </c>
      <c r="H42" t="s">
        <v>23</v>
      </c>
      <c r="I42" t="s">
        <v>24</v>
      </c>
      <c r="J42" t="s">
        <v>248</v>
      </c>
      <c r="M42" t="s">
        <v>26</v>
      </c>
      <c r="N42" t="s">
        <v>27</v>
      </c>
      <c r="O42" t="s">
        <v>28</v>
      </c>
      <c r="R42" t="s">
        <v>439</v>
      </c>
      <c r="S42" t="s">
        <v>440</v>
      </c>
    </row>
    <row r="43" spans="1:19">
      <c r="A43" t="s">
        <v>245</v>
      </c>
      <c r="B43" t="s">
        <v>334</v>
      </c>
      <c r="C43" t="s">
        <v>338</v>
      </c>
      <c r="G43" t="s">
        <v>22</v>
      </c>
      <c r="H43" t="s">
        <v>339</v>
      </c>
      <c r="I43" t="s">
        <v>24</v>
      </c>
      <c r="J43" t="s">
        <v>248</v>
      </c>
      <c r="M43" t="s">
        <v>26</v>
      </c>
      <c r="N43" t="s">
        <v>27</v>
      </c>
      <c r="O43" t="s">
        <v>28</v>
      </c>
      <c r="R43" t="s">
        <v>441</v>
      </c>
      <c r="S43" t="s">
        <v>442</v>
      </c>
    </row>
    <row r="44" spans="1:19">
      <c r="A44" t="s">
        <v>245</v>
      </c>
      <c r="B44" t="s">
        <v>316</v>
      </c>
      <c r="C44" t="s">
        <v>338</v>
      </c>
      <c r="G44" t="s">
        <v>22</v>
      </c>
      <c r="H44" t="s">
        <v>23</v>
      </c>
      <c r="I44" t="s">
        <v>24</v>
      </c>
      <c r="J44" t="s">
        <v>248</v>
      </c>
      <c r="M44" t="s">
        <v>26</v>
      </c>
      <c r="N44" t="s">
        <v>27</v>
      </c>
      <c r="O44" t="s">
        <v>28</v>
      </c>
      <c r="R44" t="s">
        <v>443</v>
      </c>
      <c r="S44" t="s">
        <v>444</v>
      </c>
    </row>
    <row r="45" spans="1:19">
      <c r="A45" t="s">
        <v>344</v>
      </c>
      <c r="B45" t="s">
        <v>316</v>
      </c>
      <c r="C45" t="s">
        <v>376</v>
      </c>
      <c r="G45" t="s">
        <v>345</v>
      </c>
      <c r="H45" t="s">
        <v>401</v>
      </c>
      <c r="I45" t="s">
        <v>24</v>
      </c>
      <c r="J45" t="s">
        <v>344</v>
      </c>
      <c r="M45" t="s">
        <v>26</v>
      </c>
      <c r="N45" t="s">
        <v>27</v>
      </c>
      <c r="O45" t="s">
        <v>347</v>
      </c>
      <c r="R45" t="s">
        <v>445</v>
      </c>
      <c r="S45" t="s">
        <v>446</v>
      </c>
    </row>
    <row r="46" spans="1:19">
      <c r="A46" t="s">
        <v>245</v>
      </c>
      <c r="B46" t="s">
        <v>316</v>
      </c>
      <c r="C46" t="s">
        <v>447</v>
      </c>
      <c r="G46" t="s">
        <v>22</v>
      </c>
      <c r="H46" t="s">
        <v>317</v>
      </c>
      <c r="I46" t="s">
        <v>24</v>
      </c>
      <c r="J46" t="s">
        <v>248</v>
      </c>
      <c r="M46" t="s">
        <v>26</v>
      </c>
      <c r="N46" t="s">
        <v>27</v>
      </c>
      <c r="O46" t="s">
        <v>28</v>
      </c>
      <c r="R46" t="s">
        <v>448</v>
      </c>
      <c r="S46" t="s">
        <v>449</v>
      </c>
    </row>
    <row r="47" spans="1:19">
      <c r="A47" t="s">
        <v>368</v>
      </c>
      <c r="B47" t="s">
        <v>390</v>
      </c>
      <c r="C47" t="s">
        <v>317</v>
      </c>
      <c r="G47" t="s">
        <v>415</v>
      </c>
      <c r="H47" t="s">
        <v>317</v>
      </c>
      <c r="I47" t="s">
        <v>335</v>
      </c>
      <c r="J47" t="s">
        <v>387</v>
      </c>
      <c r="M47" t="s">
        <v>26</v>
      </c>
      <c r="N47" t="s">
        <v>27</v>
      </c>
      <c r="O47" t="s">
        <v>28</v>
      </c>
      <c r="R47" t="s">
        <v>450</v>
      </c>
      <c r="S47" t="s">
        <v>451</v>
      </c>
    </row>
    <row r="48" spans="1:19">
      <c r="A48" t="s">
        <v>19</v>
      </c>
      <c r="B48" t="s">
        <v>20</v>
      </c>
      <c r="C48" t="s">
        <v>369</v>
      </c>
      <c r="G48" t="s">
        <v>345</v>
      </c>
      <c r="H48" t="s">
        <v>401</v>
      </c>
      <c r="I48" t="s">
        <v>24</v>
      </c>
      <c r="J48" t="s">
        <v>355</v>
      </c>
      <c r="M48" t="s">
        <v>26</v>
      </c>
      <c r="N48" t="s">
        <v>27</v>
      </c>
      <c r="O48" t="s">
        <v>371</v>
      </c>
      <c r="R48" t="s">
        <v>452</v>
      </c>
      <c r="S48" t="s">
        <v>453</v>
      </c>
    </row>
    <row r="49" spans="1:19">
      <c r="A49" t="s">
        <v>245</v>
      </c>
      <c r="B49" t="s">
        <v>316</v>
      </c>
      <c r="C49" t="s">
        <v>320</v>
      </c>
      <c r="G49" t="s">
        <v>22</v>
      </c>
      <c r="H49" t="s">
        <v>317</v>
      </c>
      <c r="I49" t="s">
        <v>24</v>
      </c>
      <c r="J49" t="s">
        <v>248</v>
      </c>
      <c r="M49" t="s">
        <v>26</v>
      </c>
      <c r="N49" t="s">
        <v>27</v>
      </c>
      <c r="O49" t="s">
        <v>28</v>
      </c>
      <c r="R49" t="s">
        <v>454</v>
      </c>
      <c r="S49" t="s">
        <v>455</v>
      </c>
    </row>
    <row r="50" spans="1:19">
      <c r="A50" t="s">
        <v>344</v>
      </c>
      <c r="B50" t="s">
        <v>20</v>
      </c>
      <c r="C50" t="s">
        <v>345</v>
      </c>
      <c r="G50" t="s">
        <v>345</v>
      </c>
      <c r="H50" t="s">
        <v>317</v>
      </c>
      <c r="I50" t="s">
        <v>346</v>
      </c>
      <c r="J50" t="s">
        <v>344</v>
      </c>
      <c r="M50" t="s">
        <v>26</v>
      </c>
      <c r="N50" t="s">
        <v>27</v>
      </c>
      <c r="O50" t="s">
        <v>347</v>
      </c>
      <c r="R50" t="s">
        <v>456</v>
      </c>
      <c r="S50" t="s">
        <v>457</v>
      </c>
    </row>
    <row r="51" spans="1:19">
      <c r="A51" t="s">
        <v>245</v>
      </c>
      <c r="B51" t="s">
        <v>382</v>
      </c>
      <c r="C51" t="s">
        <v>338</v>
      </c>
      <c r="G51" t="s">
        <v>22</v>
      </c>
      <c r="H51" t="s">
        <v>317</v>
      </c>
      <c r="I51" t="s">
        <v>24</v>
      </c>
      <c r="J51" t="s">
        <v>248</v>
      </c>
      <c r="M51" t="s">
        <v>26</v>
      </c>
      <c r="N51" t="s">
        <v>27</v>
      </c>
      <c r="O51" t="s">
        <v>28</v>
      </c>
      <c r="R51" t="s">
        <v>458</v>
      </c>
      <c r="S51" t="s">
        <v>459</v>
      </c>
    </row>
    <row r="52" spans="1:19">
      <c r="A52" t="s">
        <v>245</v>
      </c>
      <c r="B52" t="s">
        <v>316</v>
      </c>
      <c r="C52" t="s">
        <v>320</v>
      </c>
      <c r="G52" t="s">
        <v>22</v>
      </c>
      <c r="H52" t="s">
        <v>317</v>
      </c>
      <c r="I52" t="s">
        <v>335</v>
      </c>
      <c r="J52" t="s">
        <v>248</v>
      </c>
      <c r="M52" t="s">
        <v>26</v>
      </c>
      <c r="N52" t="s">
        <v>27</v>
      </c>
      <c r="O52" t="s">
        <v>28</v>
      </c>
      <c r="R52" t="s">
        <v>460</v>
      </c>
      <c r="S52" t="s">
        <v>461</v>
      </c>
    </row>
    <row r="53" spans="1:19">
      <c r="A53" t="s">
        <v>344</v>
      </c>
      <c r="B53" t="s">
        <v>20</v>
      </c>
      <c r="C53" t="s">
        <v>345</v>
      </c>
      <c r="G53" t="s">
        <v>345</v>
      </c>
      <c r="H53" t="s">
        <v>317</v>
      </c>
      <c r="I53" t="s">
        <v>346</v>
      </c>
      <c r="J53" t="s">
        <v>344</v>
      </c>
      <c r="M53" t="s">
        <v>26</v>
      </c>
      <c r="N53" t="s">
        <v>27</v>
      </c>
      <c r="O53" t="s">
        <v>347</v>
      </c>
      <c r="R53" t="s">
        <v>462</v>
      </c>
      <c r="S53" t="s">
        <v>463</v>
      </c>
    </row>
    <row r="54" spans="1:19">
      <c r="A54" t="s">
        <v>245</v>
      </c>
      <c r="B54" t="s">
        <v>20</v>
      </c>
      <c r="C54" t="s">
        <v>21</v>
      </c>
      <c r="G54" t="s">
        <v>22</v>
      </c>
      <c r="H54" t="s">
        <v>317</v>
      </c>
      <c r="I54" t="s">
        <v>24</v>
      </c>
      <c r="J54" t="s">
        <v>248</v>
      </c>
      <c r="M54" t="s">
        <v>26</v>
      </c>
      <c r="N54" t="s">
        <v>27</v>
      </c>
      <c r="O54" t="s">
        <v>28</v>
      </c>
      <c r="R54" t="s">
        <v>464</v>
      </c>
      <c r="S54" t="s">
        <v>465</v>
      </c>
    </row>
    <row r="55" spans="1:19">
      <c r="A55" t="s">
        <v>245</v>
      </c>
      <c r="B55" t="s">
        <v>334</v>
      </c>
      <c r="C55" t="s">
        <v>317</v>
      </c>
      <c r="G55" t="s">
        <v>22</v>
      </c>
      <c r="H55" t="s">
        <v>339</v>
      </c>
      <c r="I55" t="s">
        <v>329</v>
      </c>
      <c r="J55" t="s">
        <v>248</v>
      </c>
      <c r="M55" t="s">
        <v>26</v>
      </c>
      <c r="N55" t="s">
        <v>27</v>
      </c>
      <c r="O55" t="s">
        <v>28</v>
      </c>
      <c r="R55" t="s">
        <v>466</v>
      </c>
      <c r="S55" t="s">
        <v>467</v>
      </c>
    </row>
    <row r="56" spans="1:19">
      <c r="A56" t="s">
        <v>245</v>
      </c>
      <c r="B56" t="s">
        <v>334</v>
      </c>
      <c r="C56" t="s">
        <v>317</v>
      </c>
      <c r="G56" t="s">
        <v>22</v>
      </c>
      <c r="H56" t="s">
        <v>339</v>
      </c>
      <c r="I56" t="s">
        <v>329</v>
      </c>
      <c r="J56" t="s">
        <v>248</v>
      </c>
      <c r="M56" t="s">
        <v>26</v>
      </c>
      <c r="N56" t="s">
        <v>27</v>
      </c>
      <c r="O56" t="s">
        <v>28</v>
      </c>
      <c r="R56" t="s">
        <v>468</v>
      </c>
      <c r="S56" t="s">
        <v>469</v>
      </c>
    </row>
    <row r="57" spans="1:19">
      <c r="A57" t="s">
        <v>344</v>
      </c>
      <c r="B57" t="s">
        <v>20</v>
      </c>
      <c r="C57" t="s">
        <v>345</v>
      </c>
      <c r="G57" t="s">
        <v>345</v>
      </c>
      <c r="H57" t="s">
        <v>23</v>
      </c>
      <c r="I57" t="s">
        <v>24</v>
      </c>
      <c r="J57" t="s">
        <v>344</v>
      </c>
      <c r="M57" t="s">
        <v>26</v>
      </c>
      <c r="N57" t="s">
        <v>27</v>
      </c>
      <c r="O57" t="s">
        <v>347</v>
      </c>
      <c r="R57" t="s">
        <v>470</v>
      </c>
      <c r="S57" t="s">
        <v>471</v>
      </c>
    </row>
    <row r="58" spans="1:19">
      <c r="A58" t="s">
        <v>344</v>
      </c>
      <c r="B58" t="s">
        <v>20</v>
      </c>
      <c r="C58" t="s">
        <v>376</v>
      </c>
      <c r="G58" t="s">
        <v>345</v>
      </c>
      <c r="H58" t="s">
        <v>401</v>
      </c>
      <c r="I58" t="s">
        <v>24</v>
      </c>
      <c r="J58" t="s">
        <v>344</v>
      </c>
      <c r="M58" t="s">
        <v>26</v>
      </c>
      <c r="N58" t="s">
        <v>27</v>
      </c>
      <c r="O58" t="s">
        <v>347</v>
      </c>
      <c r="R58" t="s">
        <v>472</v>
      </c>
      <c r="S58" t="s">
        <v>473</v>
      </c>
    </row>
    <row r="59" spans="1:19">
      <c r="A59" t="s">
        <v>344</v>
      </c>
      <c r="B59" t="s">
        <v>400</v>
      </c>
      <c r="C59" t="s">
        <v>345</v>
      </c>
      <c r="G59" t="s">
        <v>345</v>
      </c>
      <c r="H59" t="s">
        <v>427</v>
      </c>
      <c r="I59" t="s">
        <v>24</v>
      </c>
      <c r="J59" t="s">
        <v>344</v>
      </c>
      <c r="M59" t="s">
        <v>26</v>
      </c>
      <c r="N59" t="s">
        <v>27</v>
      </c>
      <c r="O59" t="s">
        <v>347</v>
      </c>
      <c r="R59" t="s">
        <v>474</v>
      </c>
      <c r="S59" t="s">
        <v>475</v>
      </c>
    </row>
    <row r="60" spans="1:19">
      <c r="A60" t="s">
        <v>245</v>
      </c>
      <c r="B60" t="s">
        <v>382</v>
      </c>
      <c r="C60" t="s">
        <v>447</v>
      </c>
      <c r="G60" t="s">
        <v>22</v>
      </c>
      <c r="H60" t="s">
        <v>317</v>
      </c>
      <c r="I60" t="s">
        <v>476</v>
      </c>
      <c r="J60" t="s">
        <v>248</v>
      </c>
      <c r="M60" t="s">
        <v>26</v>
      </c>
      <c r="N60" t="s">
        <v>27</v>
      </c>
      <c r="O60" t="s">
        <v>28</v>
      </c>
      <c r="R60" t="s">
        <v>477</v>
      </c>
      <c r="S60" t="s">
        <v>478</v>
      </c>
    </row>
    <row r="61" spans="1:19">
      <c r="A61" t="s">
        <v>368</v>
      </c>
      <c r="B61" t="s">
        <v>479</v>
      </c>
      <c r="C61" t="s">
        <v>480</v>
      </c>
      <c r="G61" t="s">
        <v>481</v>
      </c>
      <c r="H61" t="s">
        <v>317</v>
      </c>
      <c r="I61" t="s">
        <v>24</v>
      </c>
      <c r="J61" t="s">
        <v>387</v>
      </c>
      <c r="M61" t="s">
        <v>26</v>
      </c>
      <c r="N61" t="s">
        <v>27</v>
      </c>
      <c r="O61" t="s">
        <v>28</v>
      </c>
      <c r="R61" t="s">
        <v>482</v>
      </c>
      <c r="S61" t="s">
        <v>483</v>
      </c>
    </row>
    <row r="62" spans="1:19">
      <c r="A62" t="s">
        <v>245</v>
      </c>
      <c r="B62" t="s">
        <v>334</v>
      </c>
      <c r="C62" t="s">
        <v>317</v>
      </c>
      <c r="G62" t="s">
        <v>22</v>
      </c>
      <c r="H62" t="s">
        <v>401</v>
      </c>
      <c r="I62" t="s">
        <v>24</v>
      </c>
      <c r="J62" t="s">
        <v>248</v>
      </c>
      <c r="M62" t="s">
        <v>26</v>
      </c>
      <c r="N62" t="s">
        <v>27</v>
      </c>
      <c r="O62" t="s">
        <v>28</v>
      </c>
      <c r="R62" t="s">
        <v>484</v>
      </c>
      <c r="S62" t="s">
        <v>485</v>
      </c>
    </row>
    <row r="63" spans="1:19">
      <c r="A63" t="s">
        <v>245</v>
      </c>
      <c r="B63" t="s">
        <v>316</v>
      </c>
      <c r="C63" t="s">
        <v>338</v>
      </c>
      <c r="G63" t="s">
        <v>22</v>
      </c>
      <c r="H63" t="s">
        <v>317</v>
      </c>
      <c r="I63" t="s">
        <v>24</v>
      </c>
      <c r="J63" t="s">
        <v>248</v>
      </c>
      <c r="M63" t="s">
        <v>26</v>
      </c>
      <c r="N63" t="s">
        <v>27</v>
      </c>
      <c r="O63" t="s">
        <v>28</v>
      </c>
      <c r="R63" t="s">
        <v>486</v>
      </c>
      <c r="S63" t="s">
        <v>487</v>
      </c>
    </row>
    <row r="64" spans="1:19">
      <c r="A64" t="s">
        <v>245</v>
      </c>
      <c r="B64" t="s">
        <v>316</v>
      </c>
      <c r="C64" t="s">
        <v>488</v>
      </c>
      <c r="G64" t="s">
        <v>22</v>
      </c>
      <c r="H64" t="s">
        <v>317</v>
      </c>
      <c r="I64" t="s">
        <v>24</v>
      </c>
      <c r="J64" t="s">
        <v>248</v>
      </c>
      <c r="M64" t="s">
        <v>26</v>
      </c>
      <c r="N64" t="s">
        <v>27</v>
      </c>
      <c r="O64" t="s">
        <v>28</v>
      </c>
      <c r="R64" t="s">
        <v>489</v>
      </c>
      <c r="S64" t="s">
        <v>490</v>
      </c>
    </row>
    <row r="65" spans="1:19">
      <c r="A65" t="s">
        <v>245</v>
      </c>
      <c r="B65" t="s">
        <v>20</v>
      </c>
      <c r="C65" t="s">
        <v>246</v>
      </c>
      <c r="G65" t="s">
        <v>22</v>
      </c>
      <c r="H65" t="s">
        <v>317</v>
      </c>
      <c r="I65" t="s">
        <v>24</v>
      </c>
      <c r="J65" t="s">
        <v>248</v>
      </c>
      <c r="M65" t="s">
        <v>26</v>
      </c>
      <c r="N65" t="s">
        <v>27</v>
      </c>
      <c r="O65" t="s">
        <v>28</v>
      </c>
      <c r="R65" t="s">
        <v>491</v>
      </c>
      <c r="S65" t="s">
        <v>492</v>
      </c>
    </row>
    <row r="97" spans="1:5">
      <c r="A97" s="1" t="s">
        <v>29</v>
      </c>
      <c r="B97" s="1" t="s">
        <v>30</v>
      </c>
      <c r="C97" s="1" t="s">
        <v>31</v>
      </c>
      <c r="D97" s="1" t="s">
        <v>32</v>
      </c>
      <c r="E97" s="1" t="s">
        <v>33</v>
      </c>
    </row>
    <row r="98" spans="1:5">
      <c r="A98" s="1" t="s">
        <v>249</v>
      </c>
      <c r="B98" s="1" t="s">
        <v>250</v>
      </c>
      <c r="C98" s="1" t="s">
        <v>251</v>
      </c>
      <c r="D98" s="1" t="s">
        <v>252</v>
      </c>
      <c r="E98" s="1" t="s">
        <v>253</v>
      </c>
    </row>
    <row r="99" spans="1:5">
      <c r="A99" s="1" t="s">
        <v>493</v>
      </c>
      <c r="B99" s="1" t="s">
        <v>494</v>
      </c>
      <c r="C99" s="1" t="s">
        <v>495</v>
      </c>
      <c r="D99" s="1" t="s">
        <v>496</v>
      </c>
      <c r="E99" s="1" t="s">
        <v>497</v>
      </c>
    </row>
    <row r="100" spans="1:5">
      <c r="A100" s="1" t="s">
        <v>498</v>
      </c>
      <c r="B100" s="1" t="s">
        <v>499</v>
      </c>
      <c r="C100" s="1" t="s">
        <v>500</v>
      </c>
      <c r="D100" s="1" t="s">
        <v>501</v>
      </c>
      <c r="E100" s="1" t="s">
        <v>502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Sheet0</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糖糖ღ纤尘</cp:lastModifiedBy>
  <dcterms:created xsi:type="dcterms:W3CDTF">2026-08-19T03:48:00Z</dcterms:created>
  <dcterms:modified xsi:type="dcterms:W3CDTF">2026-08-30T07:17:00Z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0FF7A88FCC4A4F59BC70416059AC5175_12</vt:lpwstr>
  </property>
  <property fmtid="{D5CDD505-2E9C-101B-9397-08002B2CF9AE}" pid="3" name="KSOProductBuildVer">
    <vt:lpwstr>2052-12.1.0.28043</vt:lpwstr>
  </property>
  <property fmtid="{D5CDD505-2E9C-101B-9397-08002B2CF9AE}" pid="4" name="CalculationRule">
    <vt:i4>0</vt:i4>
  </property>
</Properties>
</file>